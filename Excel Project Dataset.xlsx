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ma\Downloads\"/>
    </mc:Choice>
  </mc:AlternateContent>
  <xr:revisionPtr revIDLastSave="0" documentId="13_ncr:1_{F12AE698-A3DC-4D5F-934F-B76F080C4ED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<sst xmlns="http://schemas.openxmlformats.org/spreadsheetml/2006/main" count="16273" uniqueCount="51">
  <si>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</si>
  <si>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</si>
  <si>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</si>
  <si>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</si>
  <si>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</si>
  <si>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</si>
  <si>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</si>
  <si>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</si>
  <si>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</si>
  <si>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</si>
  <si>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</si>
  <si>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</si>
  <si>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</si>
  <si>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</si>
  <si>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</si>
  <si>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</si>
  <si>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</si>
  <si>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</si>
  <si>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</si>
  <si>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</si>
  <si>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</si>
  <si>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</si>
  <si>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</si>
  <si>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</si>
  <si>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</si>
  <si>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</si>
  <si>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</si>
  <si>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</si>
  <si>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</si>
  <si>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</si>
  <si>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</si>
  <si>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</si>
  <si>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</si>
  <si>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</si>
  <si>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</si>
  <si>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</si>
  <si>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</si>
  <si>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</si>
  <si>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Female</t>
  </si>
  <si>
    <t>Single</t>
  </si>
  <si>
    <t>Age Brackets</t>
  </si>
  <si>
    <t>Row Labels</t>
  </si>
  <si>
    <t>Grand Total</t>
  </si>
  <si>
    <t>Count of Purchased Bike</t>
  </si>
  <si>
    <t>Column Labels</t>
  </si>
  <si>
    <t>Average of Income</t>
  </si>
  <si>
    <t>Count of Commute Distance</t>
  </si>
  <si>
    <t>More than 10 Miles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</si>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</sst>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colors>
    <mruColors>
      <color rgb="FFFFCC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F12C-4E34-A7C7-F00126A467D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3-F12C-4E34-A7C7-F00126A467D9}"/>
            </c:ext>
          </c:extLst>
        </c:ser>
        <c:dLbls>
          <c:showLegendKey val="0"/>
          <c:showVal val="0"/>
          <c:showCatName val="0"/>
          <c:showSerName val="0"/>
          <c:showPercent val="0"/>
          <c:showBubbleSize val="0"/>
        </c:dLbls>
        <c:gapWidth val="219"/>
        <c:overlap val="-27"/>
        <c:axId val="678760224"/>
        <c:axId val="678748704"/>
      </c:barChart>
      <c:catAx>
        <c:axId val="678760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48704"/>
        <c:crosses val="autoZero"/>
        <c:auto val="1"/>
        <c:lblAlgn val="ctr"/>
        <c:lblOffset val="100"/>
        <c:noMultiLvlLbl val="0"/>
      </c:catAx>
      <c:valAx>
        <c:axId val="67874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60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8C4-47FD-BE5B-B25DCEB7908A}"/>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8C4-47FD-BE5B-B25DCEB7908A}"/>
            </c:ext>
          </c:extLst>
        </c:ser>
        <c:dLbls>
          <c:showLegendKey val="0"/>
          <c:showVal val="0"/>
          <c:showCatName val="0"/>
          <c:showSerName val="0"/>
          <c:showPercent val="0"/>
          <c:showBubbleSize val="0"/>
        </c:dLbls>
        <c:smooth val="0"/>
        <c:axId val="576330352"/>
        <c:axId val="576337072"/>
      </c:lineChart>
      <c:catAx>
        <c:axId val="576330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37072"/>
        <c:crosses val="autoZero"/>
        <c:auto val="1"/>
        <c:lblAlgn val="ctr"/>
        <c:lblOffset val="100"/>
        <c:noMultiLvlLbl val="0"/>
      </c:catAx>
      <c:valAx>
        <c:axId val="57633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30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AA4-4FAC-84E7-42D24E2B2ABC}"/>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AA4-4FAC-84E7-42D24E2B2ABC}"/>
            </c:ext>
          </c:extLst>
        </c:ser>
        <c:dLbls>
          <c:showLegendKey val="0"/>
          <c:showVal val="0"/>
          <c:showCatName val="0"/>
          <c:showSerName val="0"/>
          <c:showPercent val="0"/>
          <c:showBubbleSize val="0"/>
        </c:dLbls>
        <c:smooth val="0"/>
        <c:axId val="838233408"/>
        <c:axId val="838241568"/>
      </c:lineChart>
      <c:catAx>
        <c:axId val="838233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41568"/>
        <c:crosses val="autoZero"/>
        <c:auto val="1"/>
        <c:lblAlgn val="ctr"/>
        <c:lblOffset val="100"/>
        <c:noMultiLvlLbl val="0"/>
      </c:catAx>
      <c:valAx>
        <c:axId val="83824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3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Table'!$B$58:$B$59</c:f>
              <c:strCache>
                <c:ptCount val="1"/>
                <c:pt idx="0">
                  <c:v>No</c:v>
                </c:pt>
              </c:strCache>
            </c:strRef>
          </c:tx>
          <c:spPr>
            <a:ln w="28575" cap="rnd">
              <a:solidFill>
                <a:schemeClr val="accent1"/>
              </a:solidFill>
              <a:round/>
            </a:ln>
            <a:effectLst/>
          </c:spPr>
          <c:marker>
            <c:symbol val="none"/>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5A8-4AE6-A4F0-CE94207A85E7}"/>
            </c:ext>
          </c:extLst>
        </c:ser>
        <c:ser>
          <c:idx val="1"/>
          <c:order val="1"/>
          <c:tx>
            <c:strRef>
              <c:f>'Pivot Table'!$C$58:$C$59</c:f>
              <c:strCache>
                <c:ptCount val="1"/>
                <c:pt idx="0">
                  <c:v>Yes</c:v>
                </c:pt>
              </c:strCache>
            </c:strRef>
          </c:tx>
          <c:spPr>
            <a:ln w="28575" cap="rnd">
              <a:solidFill>
                <a:schemeClr val="accent2"/>
              </a:solidFill>
              <a:round/>
            </a:ln>
            <a:effectLst/>
          </c:spPr>
          <c:marker>
            <c:symbol val="none"/>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5A8-4AE6-A4F0-CE94207A85E7}"/>
            </c:ext>
          </c:extLst>
        </c:ser>
        <c:dLbls>
          <c:showLegendKey val="0"/>
          <c:showVal val="0"/>
          <c:showCatName val="0"/>
          <c:showSerName val="0"/>
          <c:showPercent val="0"/>
          <c:showBubbleSize val="0"/>
        </c:dLbls>
        <c:smooth val="0"/>
        <c:axId val="838238208"/>
        <c:axId val="838239168"/>
      </c:lineChart>
      <c:catAx>
        <c:axId val="83823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39168"/>
        <c:crosses val="autoZero"/>
        <c:auto val="1"/>
        <c:lblAlgn val="ctr"/>
        <c:lblOffset val="100"/>
        <c:noMultiLvlLbl val="0"/>
      </c:catAx>
      <c:valAx>
        <c:axId val="83823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3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EC93-4F2D-BA77-C2F605E93BE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C93-4F2D-BA77-C2F605E93BE5}"/>
            </c:ext>
          </c:extLst>
        </c:ser>
        <c:dLbls>
          <c:showLegendKey val="0"/>
          <c:showVal val="0"/>
          <c:showCatName val="0"/>
          <c:showSerName val="0"/>
          <c:showPercent val="0"/>
          <c:showBubbleSize val="0"/>
        </c:dLbls>
        <c:gapWidth val="219"/>
        <c:overlap val="-27"/>
        <c:axId val="678760224"/>
        <c:axId val="678748704"/>
      </c:barChart>
      <c:catAx>
        <c:axId val="678760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48704"/>
        <c:crosses val="autoZero"/>
        <c:auto val="1"/>
        <c:lblAlgn val="ctr"/>
        <c:lblOffset val="100"/>
        <c:noMultiLvlLbl val="0"/>
      </c:catAx>
      <c:valAx>
        <c:axId val="67874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60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5F8-4A2B-B7C5-12C173B6DC11}"/>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5F8-4A2B-B7C5-12C173B6DC11}"/>
            </c:ext>
          </c:extLst>
        </c:ser>
        <c:dLbls>
          <c:showLegendKey val="0"/>
          <c:showVal val="0"/>
          <c:showCatName val="0"/>
          <c:showSerName val="0"/>
          <c:showPercent val="0"/>
          <c:showBubbleSize val="0"/>
        </c:dLbls>
        <c:smooth val="0"/>
        <c:axId val="576330352"/>
        <c:axId val="576337072"/>
      </c:lineChart>
      <c:catAx>
        <c:axId val="576330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37072"/>
        <c:crosses val="autoZero"/>
        <c:auto val="1"/>
        <c:lblAlgn val="ctr"/>
        <c:lblOffset val="100"/>
        <c:noMultiLvlLbl val="0"/>
      </c:catAx>
      <c:valAx>
        <c:axId val="57633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30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31002077865266842"/>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10064858974497E-2"/>
          <c:y val="0.310944401870205"/>
          <c:w val="0.60981156386369229"/>
          <c:h val="0.33812437035570059"/>
        </c:manualLayout>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C2D-4F90-9D2B-DD4B4A149B8B}"/>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C2D-4F90-9D2B-DD4B4A149B8B}"/>
            </c:ext>
          </c:extLst>
        </c:ser>
        <c:dLbls>
          <c:showLegendKey val="0"/>
          <c:showVal val="0"/>
          <c:showCatName val="0"/>
          <c:showSerName val="0"/>
          <c:showPercent val="0"/>
          <c:showBubbleSize val="0"/>
        </c:dLbls>
        <c:smooth val="0"/>
        <c:axId val="838233408"/>
        <c:axId val="838241568"/>
      </c:lineChart>
      <c:catAx>
        <c:axId val="838233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41568"/>
        <c:crosses val="autoZero"/>
        <c:auto val="1"/>
        <c:lblAlgn val="ctr"/>
        <c:lblOffset val="100"/>
        <c:noMultiLvlLbl val="0"/>
      </c:catAx>
      <c:valAx>
        <c:axId val="83824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3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396240</xdr:colOff>
      <xdr:row>0</xdr:row>
      <xdr:rowOff>95250</xdr:rowOff>
    </xdr:from>
    <xdr:to>
      <xdr:col>12</xdr:col>
      <xdr:colOff>91440</xdr:colOff>
      <xdr:row>15</xdr:row>
      <xdr:rowOff>95250</xdr:rowOff>
    </xdr:to>
    <xdr:graphicFrame macro="">
      <xdr:nvGraphicFramePr>
        <xdr:cNvPr id="2" name="Chart 1">
          <a:extLst>
            <a:ext uri="{FF2B5EF4-FFF2-40B4-BE49-F238E27FC236}">
              <a16:creationId xmlns:a16="http://schemas.microsoft.com/office/drawing/2014/main" id="{B24D4D3E-9547-F85F-C3EE-4041563FB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18</xdr:row>
      <xdr:rowOff>148590</xdr:rowOff>
    </xdr:from>
    <xdr:to>
      <xdr:col>11</xdr:col>
      <xdr:colOff>571500</xdr:colOff>
      <xdr:row>35</xdr:row>
      <xdr:rowOff>137160</xdr:rowOff>
    </xdr:to>
    <xdr:graphicFrame macro="">
      <xdr:nvGraphicFramePr>
        <xdr:cNvPr id="3" name="Chart 2">
          <a:extLst>
            <a:ext uri="{FF2B5EF4-FFF2-40B4-BE49-F238E27FC236}">
              <a16:creationId xmlns:a16="http://schemas.microsoft.com/office/drawing/2014/main" id="{6E0C1026-D564-C127-C278-B74FC12C6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434340</xdr:colOff>
      <xdr:row>37</xdr:row>
      <xdr:rowOff>133350</xdr:rowOff>
    </xdr:from>
    <xdr:to>
      <xdr:col>11</xdr:col>
      <xdr:colOff>586740</xdr:colOff>
      <xdr:row>52</xdr:row>
      <xdr:rowOff>133350</xdr:rowOff>
    </xdr:to>
    <xdr:graphicFrame macro="">
      <xdr:nvGraphicFramePr>
        <xdr:cNvPr id="4" name="Chart 3">
          <a:extLst>
            <a:ext uri="{FF2B5EF4-FFF2-40B4-BE49-F238E27FC236}">
              <a16:creationId xmlns:a16="http://schemas.microsoft.com/office/drawing/2014/main" id="{AF246F85-F783-7BB2-E016-3B944862D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411480</xdr:colOff>
      <xdr:row>57</xdr:row>
      <xdr:rowOff>179070</xdr:rowOff>
    </xdr:from>
    <xdr:to>
      <xdr:col>11</xdr:col>
      <xdr:colOff>563880</xdr:colOff>
      <xdr:row>72</xdr:row>
      <xdr:rowOff>179070</xdr:rowOff>
    </xdr:to>
    <xdr:graphicFrame macro="">
      <xdr:nvGraphicFramePr>
        <xdr:cNvPr id="5" name="Chart 4">
          <a:extLst>
            <a:ext uri="{FF2B5EF4-FFF2-40B4-BE49-F238E27FC236}">
              <a16:creationId xmlns:a16="http://schemas.microsoft.com/office/drawing/2014/main" id="{7731D990-0080-698D-3DC5-738A5BE03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379781</xdr:colOff>
      <xdr:row>7</xdr:row>
      <xdr:rowOff>16182</xdr:rowOff>
    </xdr:from>
    <xdr:to>
      <xdr:col>10</xdr:col>
      <xdr:colOff>221018</xdr:colOff>
      <xdr:row>20</xdr:row>
      <xdr:rowOff>10432</xdr:rowOff>
    </xdr:to>
    <xdr:graphicFrame macro="">
      <xdr:nvGraphicFramePr>
        <xdr:cNvPr id="2" name="Chart 1">
          <a:extLst>
            <a:ext uri="{FF2B5EF4-FFF2-40B4-BE49-F238E27FC236}">
              <a16:creationId xmlns:a16="http://schemas.microsoft.com/office/drawing/2014/main" id="{E14C73A9-4D97-4672-9FDE-8432A739A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372500</xdr:colOff>
      <xdr:row>19</xdr:row>
      <xdr:rowOff>167016</xdr:rowOff>
    </xdr:from>
    <xdr:to>
      <xdr:col>17</xdr:col>
      <xdr:colOff>16570</xdr:colOff>
      <xdr:row>34</xdr:row>
      <xdr:rowOff>19415</xdr:rowOff>
    </xdr:to>
    <xdr:graphicFrame macro="">
      <xdr:nvGraphicFramePr>
        <xdr:cNvPr id="3" name="Chart 2">
          <a:extLst>
            <a:ext uri="{FF2B5EF4-FFF2-40B4-BE49-F238E27FC236}">
              <a16:creationId xmlns:a16="http://schemas.microsoft.com/office/drawing/2014/main" id="{E3FB137A-0A64-4D2B-8764-85D4915E5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227596</xdr:colOff>
      <xdr:row>7</xdr:row>
      <xdr:rowOff>10093</xdr:rowOff>
    </xdr:from>
    <xdr:to>
      <xdr:col>17</xdr:col>
      <xdr:colOff>17466</xdr:colOff>
      <xdr:row>19</xdr:row>
      <xdr:rowOff>175260</xdr:rowOff>
    </xdr:to>
    <xdr:graphicFrame macro="">
      <xdr:nvGraphicFramePr>
        <xdr:cNvPr id="4" name="Chart 3">
          <a:extLst>
            <a:ext uri="{FF2B5EF4-FFF2-40B4-BE49-F238E27FC236}">
              <a16:creationId xmlns:a16="http://schemas.microsoft.com/office/drawing/2014/main" id="{3DB8EC9E-17FE-4D66-8108-D3592158E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308224</xdr:colOff>
      <xdr:row>1</xdr:row>
      <xdr:rowOff>34248</xdr:rowOff>
    </xdr:from>
    <xdr:to>
      <xdr:col>12</xdr:col>
      <xdr:colOff>590764</xdr:colOff>
      <xdr:row>5</xdr:row>
      <xdr:rowOff>145551</xdr:rowOff>
    </xdr:to>
    <xdr:sp macro="" textlink="">
      <xdr:nvSpPr>
        <xdr:cNvPr id="5" name="TextBox 4">
          <a:extLst>
            <a:ext uri="{FF2B5EF4-FFF2-40B4-BE49-F238E27FC236}">
              <a16:creationId xmlns:a16="http://schemas.microsoft.com/office/drawing/2014/main" id="{EDE6B0B8-7C38-E1E4-54F4-01F07AF43E03}"/>
            </a:ext>
          </a:extLst>
        </xdr:cNvPr>
        <xdr:cNvSpPr txBox="1"/>
      </xdr:nvSpPr>
      <xdr:spPr>
        <a:xfrm>
          <a:off x="2131887" y="214046"/>
          <a:ext cx="5753529" cy="8304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t>Bike</a:t>
          </a:r>
          <a:r>
            <a:rPr lang="en-US" sz="4000" b="1" baseline="0"/>
            <a:t> Sales Dashboard</a:t>
          </a:r>
          <a:endParaRPr lang="en-US" sz="4000" b="1"/>
        </a:p>
      </xdr:txBody>
    </xdr:sp>
    <xdr:clientData/>
  </xdr:twoCellAnchor>
  <xdr:twoCellAnchor editAs="oneCell">
    <xdr:from>
      <xdr:col>0</xdr:col>
      <xdr:colOff>42809</xdr:colOff>
      <xdr:row>7</xdr:row>
      <xdr:rowOff>19778</xdr:rowOff>
    </xdr:from>
    <xdr:to>
      <xdr:col>3</xdr:col>
      <xdr:colOff>333910</xdr:colOff>
      <xdr:row>12</xdr:row>
      <xdr:rowOff>77056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921CA69B-0408-02CF-0188-62BA3B919B1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2809" y="1283094"/>
              <a:ext cx="2125917" cy="959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42809</xdr:colOff>
      <xdr:row>12</xdr:row>
      <xdr:rowOff>131681</xdr:rowOff>
    </xdr:from>
    <xdr:to>
      <xdr:col>3</xdr:col>
      <xdr:colOff>333910</xdr:colOff>
      <xdr:row>22</xdr:row>
      <xdr:rowOff>128425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6D89C5B-DD83-7375-9588-3DA6701DD44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2809" y="2297365"/>
              <a:ext cx="2125917" cy="1801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36129</xdr:colOff>
      <xdr:row>22</xdr:row>
      <xdr:rowOff>178941</xdr:rowOff>
    </xdr:from>
    <xdr:to>
      <xdr:col>3</xdr:col>
      <xdr:colOff>333910</xdr:colOff>
      <xdr:row>29</xdr:row>
      <xdr:rowOff>77056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EEFF4DD-F55E-E6EC-A1E6-FE6598306D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129" y="4149362"/>
              <a:ext cx="2132597" cy="1161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 refreshedDate="46065.122905787037" createdVersion="8" refreshedVersion="8" minRefreshableVersion="3" recordCount="1000" xr:uid="{7A33C820-3ADD-415B-8A51-81CFE1A4AF1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94441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812144-CF4E-45E6-88D9-0B9C6C1F00C6}"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3"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40FACB-7832-4336-AFBB-F4E1F9122500}"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1B0552-DBF2-4E0A-8834-DEA96367F554}"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dataField="1"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Commute Distance" fld="9"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CEC893-11E6-4A3F-8E1C-42A5E3E0E26D}"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1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DA75102-8B7C-416F-9CD6-C5A142BE4628}" sourceName="Marital Status">
  <pivotTables>
    <pivotTable tabId="3" name="PivotTable1"/>
    <pivotTable tabId="3" name="PivotTable2"/>
    <pivotTable tabId="3" name="PivotTable3"/>
  </pivotTables>
  <data>
    <tabular pivotCacheId="199444139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A6DD182-38CD-4C4F-B87A-EF8D7EF2095B}" sourceName="Education">
  <pivotTables>
    <pivotTable tabId="3" name="PivotTable1"/>
    <pivotTable tabId="3" name="PivotTable2"/>
    <pivotTable tabId="3" name="PivotTable3"/>
  </pivotTables>
  <data>
    <tabular pivotCacheId="199444139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4AB586-9606-48BA-A1BF-B72019653DB5}" sourceName="Region">
  <pivotTables>
    <pivotTable tabId="3" name="PivotTable1"/>
    <pivotTable tabId="3" name="PivotTable2"/>
    <pivotTable tabId="3" name="PivotTable3"/>
  </pivotTables>
  <data>
    <tabular pivotCacheId="199444139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9AF31EE-1823-43C8-9CD5-16E5C9FD43EF}" cache="Slicer_Marital_Status" caption="Marital Status" rowHeight="234950"/>
  <slicer name="Education" xr10:uid="{E0778B94-0FA2-477C-A325-25D07E0D8EBD}" cache="Slicer_Education" caption="Education" rowHeight="234950"/>
  <slicer name="Region" xr10:uid="{CBB618D5-5756-4A33-85BE-2E9681BAC19A}"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E778-B0A9-40C9-B97A-47A63CC7F2BF}">
  <dimension ref="A1:N1001"/>
  <sheetViews>
    <sheetView workbookViewId="0">
      <selection activeCell="J1" sqref="J1:J1048576"/>
    </sheetView>
  </sheetViews>
  <sheetFormatPr defaultColWidth="11.88671875" defaultRowHeight="14.4" x14ac:dyDescent="0.3"/>
  <cols>
    <col min="4" max="4" width="11.88671875" style="4"/>
    <col min="14" max="14" width="15.44140625" customWidth="1"/>
  </cols>
  <sheetData>
    <row r="1" spans="1:14" x14ac:dyDescent="0.3">
      <c r="A1" t="s">
        <v>0</v>
      </c>
      <c r="B1" t="s">
        <v>1</v>
      </c>
      <c r="C1" t="s">
        <v>2</v>
      </c>
      <c r="D1" s="4" t="s">
        <v>3</v>
      </c>
      <c r="E1" t="s">
        <v>4</v>
      </c>
      <c r="F1" t="s">
        <v>5</v>
      </c>
      <c r="G1" t="s">
        <v>6</v>
      </c>
      <c r="H1" t="s">
        <v>7</v>
      </c>
      <c r="I1" t="s">
        <v>8</v>
      </c>
      <c r="J1" t="s">
        <v>9</v>
      </c>
      <c r="K1" t="s">
        <v>10</v>
      </c>
      <c r="L1" t="s">
        <v>11</v>
      </c>
      <c r="M1" t="s">
        <v>40</v>
      </c>
      <c r="N1" t="s">
        <v>12</v>
      </c>
    </row>
    <row r="2" spans="1:14" x14ac:dyDescent="0.3">
      <c r="A2">
        <v>12496</v>
      </c>
      <c r="B2" t="s">
        <v>36</v>
      </c>
      <c r="C2" t="s">
        <v>38</v>
      </c>
      <c r="D2" s="4">
        <v>40000</v>
      </c>
      <c r="E2">
        <v>1</v>
      </c>
      <c r="F2" t="s">
        <v>13</v>
      </c>
      <c r="G2" t="s">
        <v>14</v>
      </c>
      <c r="H2" t="s">
        <v>15</v>
      </c>
      <c r="I2">
        <v>0</v>
      </c>
      <c r="J2" t="s">
        <v>16</v>
      </c>
      <c r="K2" t="s">
        <v>17</v>
      </c>
      <c r="L2">
        <v>42</v>
      </c>
      <c r="M2" t="str">
        <f>IF(L2&gt;54,"Old",IF(L2&gt;=31,"Middle Age",IF(L2&lt;31,"Adolescent")))</f>
        <v>Middle Age</v>
      </c>
      <c r="N2" t="s">
        <v>18</v>
      </c>
    </row>
    <row r="3" spans="1:14" x14ac:dyDescent="0.3">
      <c r="A3">
        <v>24107</v>
      </c>
      <c r="B3" t="s">
        <v>36</v>
      </c>
      <c r="C3" t="s">
        <v>37</v>
      </c>
      <c r="D3" s="4">
        <v>30000</v>
      </c>
      <c r="E3">
        <v>3</v>
      </c>
      <c r="F3" t="s">
        <v>19</v>
      </c>
      <c r="G3" t="s">
        <v>20</v>
      </c>
      <c r="H3" t="s">
        <v>15</v>
      </c>
      <c r="I3">
        <v>1</v>
      </c>
      <c r="J3" t="s">
        <v>16</v>
      </c>
      <c r="K3" t="s">
        <v>17</v>
      </c>
      <c r="L3">
        <v>43</v>
      </c>
      <c r="M3" t="str">
        <f t="shared" ref="M3:M66" si="0">IF(L3&gt;54,"Old",IF(L3&gt;=31,"Middle Age",IF(L3&lt;31,"Adolescent")))</f>
        <v>Middle Age</v>
      </c>
      <c r="N3" t="s">
        <v>18</v>
      </c>
    </row>
    <row r="4" spans="1:14" x14ac:dyDescent="0.3">
      <c r="A4">
        <v>14177</v>
      </c>
      <c r="B4" t="s">
        <v>36</v>
      </c>
      <c r="C4" t="s">
        <v>37</v>
      </c>
      <c r="D4" s="4">
        <v>80000</v>
      </c>
      <c r="E4">
        <v>5</v>
      </c>
      <c r="F4" t="s">
        <v>19</v>
      </c>
      <c r="G4" t="s">
        <v>21</v>
      </c>
      <c r="H4" t="s">
        <v>18</v>
      </c>
      <c r="I4">
        <v>2</v>
      </c>
      <c r="J4" t="s">
        <v>22</v>
      </c>
      <c r="K4" t="s">
        <v>17</v>
      </c>
      <c r="L4">
        <v>60</v>
      </c>
      <c r="M4" t="str">
        <f t="shared" si="0"/>
        <v>Old</v>
      </c>
      <c r="N4" t="s">
        <v>18</v>
      </c>
    </row>
    <row r="5" spans="1:14" x14ac:dyDescent="0.3">
      <c r="A5">
        <v>24381</v>
      </c>
      <c r="B5" t="s">
        <v>39</v>
      </c>
      <c r="C5" t="s">
        <v>37</v>
      </c>
      <c r="D5" s="4">
        <v>70000</v>
      </c>
      <c r="E5">
        <v>0</v>
      </c>
      <c r="F5" t="s">
        <v>13</v>
      </c>
      <c r="G5" t="s">
        <v>21</v>
      </c>
      <c r="H5" t="s">
        <v>15</v>
      </c>
      <c r="I5">
        <v>1</v>
      </c>
      <c r="J5" t="s">
        <v>23</v>
      </c>
      <c r="K5" t="s">
        <v>24</v>
      </c>
      <c r="L5">
        <v>41</v>
      </c>
      <c r="M5" t="str">
        <f t="shared" si="0"/>
        <v>Middle Age</v>
      </c>
      <c r="N5" t="s">
        <v>15</v>
      </c>
    </row>
    <row r="6" spans="1:14" x14ac:dyDescent="0.3">
      <c r="A6">
        <v>25597</v>
      </c>
      <c r="B6" t="s">
        <v>39</v>
      </c>
      <c r="C6" t="s">
        <v>37</v>
      </c>
      <c r="D6" s="4">
        <v>30000</v>
      </c>
      <c r="E6">
        <v>0</v>
      </c>
      <c r="F6" t="s">
        <v>13</v>
      </c>
      <c r="G6" t="s">
        <v>20</v>
      </c>
      <c r="H6" t="s">
        <v>18</v>
      </c>
      <c r="I6">
        <v>0</v>
      </c>
      <c r="J6" t="s">
        <v>16</v>
      </c>
      <c r="K6" t="s">
        <v>17</v>
      </c>
      <c r="L6">
        <v>36</v>
      </c>
      <c r="M6" t="str">
        <f t="shared" si="0"/>
        <v>Middle Age</v>
      </c>
      <c r="N6" t="s">
        <v>15</v>
      </c>
    </row>
    <row r="7" spans="1:14" x14ac:dyDescent="0.3">
      <c r="A7">
        <v>13507</v>
      </c>
      <c r="B7" t="s">
        <v>36</v>
      </c>
      <c r="C7" t="s">
        <v>38</v>
      </c>
      <c r="D7" s="4">
        <v>10000</v>
      </c>
      <c r="E7">
        <v>2</v>
      </c>
      <c r="F7" t="s">
        <v>19</v>
      </c>
      <c r="G7" t="s">
        <v>25</v>
      </c>
      <c r="H7" t="s">
        <v>15</v>
      </c>
      <c r="I7">
        <v>0</v>
      </c>
      <c r="J7" t="s">
        <v>26</v>
      </c>
      <c r="K7" t="s">
        <v>17</v>
      </c>
      <c r="L7">
        <v>50</v>
      </c>
      <c r="M7" t="str">
        <f t="shared" si="0"/>
        <v>Middle Age</v>
      </c>
      <c r="N7" t="s">
        <v>18</v>
      </c>
    </row>
    <row r="8" spans="1:14" x14ac:dyDescent="0.3">
      <c r="A8">
        <v>27974</v>
      </c>
      <c r="B8" t="s">
        <v>39</v>
      </c>
      <c r="C8" t="s">
        <v>37</v>
      </c>
      <c r="D8" s="4">
        <v>160000</v>
      </c>
      <c r="E8">
        <v>2</v>
      </c>
      <c r="F8" t="s">
        <v>27</v>
      </c>
      <c r="G8" t="s">
        <v>28</v>
      </c>
      <c r="H8" t="s">
        <v>15</v>
      </c>
      <c r="I8">
        <v>4</v>
      </c>
      <c r="J8" t="s">
        <v>16</v>
      </c>
      <c r="K8" t="s">
        <v>24</v>
      </c>
      <c r="L8">
        <v>33</v>
      </c>
      <c r="M8" t="str">
        <f t="shared" si="0"/>
        <v>Middle Age</v>
      </c>
      <c r="N8" t="s">
        <v>15</v>
      </c>
    </row>
    <row r="9" spans="1:14" x14ac:dyDescent="0.3">
      <c r="A9">
        <v>19364</v>
      </c>
      <c r="B9" t="s">
        <v>36</v>
      </c>
      <c r="C9" t="s">
        <v>37</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37</v>
      </c>
      <c r="D10" s="4">
        <v>20000</v>
      </c>
      <c r="E10">
        <v>2</v>
      </c>
      <c r="F10" t="s">
        <v>29</v>
      </c>
      <c r="G10" t="s">
        <v>20</v>
      </c>
      <c r="H10" t="s">
        <v>15</v>
      </c>
      <c r="I10">
        <v>2</v>
      </c>
      <c r="J10" t="s">
        <v>23</v>
      </c>
      <c r="K10" t="s">
        <v>24</v>
      </c>
      <c r="L10">
        <v>58</v>
      </c>
      <c r="M10" t="str">
        <f t="shared" si="0"/>
        <v>Old</v>
      </c>
      <c r="N10" t="s">
        <v>18</v>
      </c>
    </row>
    <row r="11" spans="1:14" x14ac:dyDescent="0.3">
      <c r="A11">
        <v>19280</v>
      </c>
      <c r="B11" t="s">
        <v>36</v>
      </c>
      <c r="C11" t="s">
        <v>37</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3">
      <c r="A13">
        <v>12697</v>
      </c>
      <c r="B13" t="s">
        <v>39</v>
      </c>
      <c r="C13" t="s">
        <v>38</v>
      </c>
      <c r="D13" s="4">
        <v>90000</v>
      </c>
      <c r="E13">
        <v>0</v>
      </c>
      <c r="F13" t="s">
        <v>13</v>
      </c>
      <c r="G13" t="s">
        <v>21</v>
      </c>
      <c r="H13" t="s">
        <v>18</v>
      </c>
      <c r="I13">
        <v>4</v>
      </c>
      <c r="J13" t="s">
        <v>47</v>
      </c>
      <c r="K13" t="s">
        <v>24</v>
      </c>
      <c r="L13">
        <v>36</v>
      </c>
      <c r="M13" t="str">
        <f t="shared" si="0"/>
        <v>Middle Age</v>
      </c>
      <c r="N13" t="s">
        <v>18</v>
      </c>
    </row>
    <row r="14" spans="1:14" x14ac:dyDescent="0.3">
      <c r="A14">
        <v>11434</v>
      </c>
      <c r="B14" t="s">
        <v>36</v>
      </c>
      <c r="C14" t="s">
        <v>37</v>
      </c>
      <c r="D14" s="4">
        <v>170000</v>
      </c>
      <c r="E14">
        <v>5</v>
      </c>
      <c r="F14" t="s">
        <v>19</v>
      </c>
      <c r="G14" t="s">
        <v>21</v>
      </c>
      <c r="H14" t="s">
        <v>15</v>
      </c>
      <c r="I14">
        <v>0</v>
      </c>
      <c r="J14" t="s">
        <v>16</v>
      </c>
      <c r="K14" t="s">
        <v>17</v>
      </c>
      <c r="L14">
        <v>55</v>
      </c>
      <c r="M14" t="str">
        <f t="shared" si="0"/>
        <v>Old</v>
      </c>
      <c r="N14" t="s">
        <v>18</v>
      </c>
    </row>
    <row r="15" spans="1:14" x14ac:dyDescent="0.3">
      <c r="A15">
        <v>25323</v>
      </c>
      <c r="B15" t="s">
        <v>36</v>
      </c>
      <c r="C15" t="s">
        <v>37</v>
      </c>
      <c r="D15" s="4">
        <v>40000</v>
      </c>
      <c r="E15">
        <v>2</v>
      </c>
      <c r="F15" t="s">
        <v>19</v>
      </c>
      <c r="G15" t="s">
        <v>20</v>
      </c>
      <c r="H15" t="s">
        <v>15</v>
      </c>
      <c r="I15">
        <v>1</v>
      </c>
      <c r="J15" t="s">
        <v>26</v>
      </c>
      <c r="K15" t="s">
        <v>17</v>
      </c>
      <c r="L15">
        <v>35</v>
      </c>
      <c r="M15" t="str">
        <f t="shared" si="0"/>
        <v>Middle Age</v>
      </c>
      <c r="N15" t="s">
        <v>15</v>
      </c>
    </row>
    <row r="16" spans="1:14" x14ac:dyDescent="0.3">
      <c r="A16">
        <v>23542</v>
      </c>
      <c r="B16" t="s">
        <v>39</v>
      </c>
      <c r="C16" t="s">
        <v>37</v>
      </c>
      <c r="D16" s="4">
        <v>60000</v>
      </c>
      <c r="E16">
        <v>1</v>
      </c>
      <c r="F16" t="s">
        <v>19</v>
      </c>
      <c r="G16" t="s">
        <v>14</v>
      </c>
      <c r="H16" t="s">
        <v>18</v>
      </c>
      <c r="I16">
        <v>1</v>
      </c>
      <c r="J16" t="s">
        <v>16</v>
      </c>
      <c r="K16" t="s">
        <v>24</v>
      </c>
      <c r="L16">
        <v>45</v>
      </c>
      <c r="M16" t="str">
        <f t="shared" si="0"/>
        <v>Middle Age</v>
      </c>
      <c r="N16" t="s">
        <v>15</v>
      </c>
    </row>
    <row r="17" spans="1:14" x14ac:dyDescent="0.3">
      <c r="A17">
        <v>20870</v>
      </c>
      <c r="B17" t="s">
        <v>39</v>
      </c>
      <c r="C17" t="s">
        <v>38</v>
      </c>
      <c r="D17" s="4">
        <v>10000</v>
      </c>
      <c r="E17">
        <v>2</v>
      </c>
      <c r="F17" t="s">
        <v>27</v>
      </c>
      <c r="G17" t="s">
        <v>25</v>
      </c>
      <c r="H17" t="s">
        <v>15</v>
      </c>
      <c r="I17">
        <v>1</v>
      </c>
      <c r="J17" t="s">
        <v>16</v>
      </c>
      <c r="K17" t="s">
        <v>17</v>
      </c>
      <c r="L17">
        <v>38</v>
      </c>
      <c r="M17" t="str">
        <f t="shared" si="0"/>
        <v>Middle Age</v>
      </c>
      <c r="N17" t="s">
        <v>15</v>
      </c>
    </row>
    <row r="18" spans="1:14" x14ac:dyDescent="0.3">
      <c r="A18">
        <v>23316</v>
      </c>
      <c r="B18" t="s">
        <v>39</v>
      </c>
      <c r="C18" t="s">
        <v>37</v>
      </c>
      <c r="D18" s="4">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3">
      <c r="A20">
        <v>27183</v>
      </c>
      <c r="B20" t="s">
        <v>39</v>
      </c>
      <c r="C20" t="s">
        <v>37</v>
      </c>
      <c r="D20" s="4">
        <v>40000</v>
      </c>
      <c r="E20">
        <v>2</v>
      </c>
      <c r="F20" t="s">
        <v>19</v>
      </c>
      <c r="G20" t="s">
        <v>20</v>
      </c>
      <c r="H20" t="s">
        <v>15</v>
      </c>
      <c r="I20">
        <v>1</v>
      </c>
      <c r="J20" t="s">
        <v>26</v>
      </c>
      <c r="K20" t="s">
        <v>17</v>
      </c>
      <c r="L20">
        <v>35</v>
      </c>
      <c r="M20" t="str">
        <f t="shared" si="0"/>
        <v>Middle Age</v>
      </c>
      <c r="N20" t="s">
        <v>15</v>
      </c>
    </row>
    <row r="21" spans="1:14" x14ac:dyDescent="0.3">
      <c r="A21">
        <v>25940</v>
      </c>
      <c r="B21" t="s">
        <v>39</v>
      </c>
      <c r="C21" t="s">
        <v>37</v>
      </c>
      <c r="D21" s="4">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3">
      <c r="A23">
        <v>21564</v>
      </c>
      <c r="B23" t="s">
        <v>39</v>
      </c>
      <c r="C23" t="s">
        <v>38</v>
      </c>
      <c r="D23" s="4">
        <v>80000</v>
      </c>
      <c r="E23">
        <v>0</v>
      </c>
      <c r="F23" t="s">
        <v>13</v>
      </c>
      <c r="G23" t="s">
        <v>21</v>
      </c>
      <c r="H23" t="s">
        <v>15</v>
      </c>
      <c r="I23">
        <v>4</v>
      </c>
      <c r="J23" t="s">
        <v>47</v>
      </c>
      <c r="K23" t="s">
        <v>24</v>
      </c>
      <c r="L23">
        <v>35</v>
      </c>
      <c r="M23" t="str">
        <f t="shared" si="0"/>
        <v>Middle Age</v>
      </c>
      <c r="N23" t="s">
        <v>18</v>
      </c>
    </row>
    <row r="24" spans="1:14" x14ac:dyDescent="0.3">
      <c r="A24">
        <v>19193</v>
      </c>
      <c r="B24" t="s">
        <v>39</v>
      </c>
      <c r="C24" t="s">
        <v>37</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3">
      <c r="A26">
        <v>27184</v>
      </c>
      <c r="B26" t="s">
        <v>39</v>
      </c>
      <c r="C26" t="s">
        <v>37</v>
      </c>
      <c r="D26" s="4">
        <v>40000</v>
      </c>
      <c r="E26">
        <v>2</v>
      </c>
      <c r="F26" t="s">
        <v>19</v>
      </c>
      <c r="G26" t="s">
        <v>20</v>
      </c>
      <c r="H26" t="s">
        <v>18</v>
      </c>
      <c r="I26">
        <v>1</v>
      </c>
      <c r="J26" t="s">
        <v>16</v>
      </c>
      <c r="K26" t="s">
        <v>17</v>
      </c>
      <c r="L26">
        <v>34</v>
      </c>
      <c r="M26" t="str">
        <f t="shared" si="0"/>
        <v>Middle Age</v>
      </c>
      <c r="N26" t="s">
        <v>18</v>
      </c>
    </row>
    <row r="27" spans="1:14" x14ac:dyDescent="0.3">
      <c r="A27">
        <v>12590</v>
      </c>
      <c r="B27" t="s">
        <v>39</v>
      </c>
      <c r="C27" t="s">
        <v>37</v>
      </c>
      <c r="D27" s="4">
        <v>30000</v>
      </c>
      <c r="E27">
        <v>1</v>
      </c>
      <c r="F27" t="s">
        <v>13</v>
      </c>
      <c r="G27" t="s">
        <v>20</v>
      </c>
      <c r="H27" t="s">
        <v>15</v>
      </c>
      <c r="I27">
        <v>0</v>
      </c>
      <c r="J27" t="s">
        <v>16</v>
      </c>
      <c r="K27" t="s">
        <v>17</v>
      </c>
      <c r="L27">
        <v>63</v>
      </c>
      <c r="M27" t="str">
        <f t="shared" si="0"/>
        <v>Old</v>
      </c>
      <c r="N27" t="s">
        <v>18</v>
      </c>
    </row>
    <row r="28" spans="1:14" x14ac:dyDescent="0.3">
      <c r="A28">
        <v>17841</v>
      </c>
      <c r="B28" t="s">
        <v>39</v>
      </c>
      <c r="C28" t="s">
        <v>37</v>
      </c>
      <c r="D28" s="4">
        <v>30000</v>
      </c>
      <c r="E28">
        <v>0</v>
      </c>
      <c r="F28" t="s">
        <v>19</v>
      </c>
      <c r="G28" t="s">
        <v>20</v>
      </c>
      <c r="H28" t="s">
        <v>18</v>
      </c>
      <c r="I28">
        <v>1</v>
      </c>
      <c r="J28" t="s">
        <v>16</v>
      </c>
      <c r="K28" t="s">
        <v>17</v>
      </c>
      <c r="L28">
        <v>29</v>
      </c>
      <c r="M28" t="str">
        <f t="shared" si="0"/>
        <v>Adolescent</v>
      </c>
      <c r="N28" t="s">
        <v>15</v>
      </c>
    </row>
    <row r="29" spans="1:14" x14ac:dyDescent="0.3">
      <c r="A29">
        <v>18283</v>
      </c>
      <c r="B29" t="s">
        <v>39</v>
      </c>
      <c r="C29" t="s">
        <v>38</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37</v>
      </c>
      <c r="D30" s="4">
        <v>70000</v>
      </c>
      <c r="E30">
        <v>5</v>
      </c>
      <c r="F30" t="s">
        <v>19</v>
      </c>
      <c r="G30" t="s">
        <v>14</v>
      </c>
      <c r="H30" t="s">
        <v>15</v>
      </c>
      <c r="I30">
        <v>2</v>
      </c>
      <c r="J30" t="s">
        <v>23</v>
      </c>
      <c r="K30" t="s">
        <v>24</v>
      </c>
      <c r="L30">
        <v>44</v>
      </c>
      <c r="M30" t="str">
        <f t="shared" si="0"/>
        <v>Middle Age</v>
      </c>
      <c r="N30" t="s">
        <v>18</v>
      </c>
    </row>
    <row r="31" spans="1:14" x14ac:dyDescent="0.3">
      <c r="A31">
        <v>16466</v>
      </c>
      <c r="B31" t="s">
        <v>39</v>
      </c>
      <c r="C31" t="s">
        <v>38</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37</v>
      </c>
      <c r="D33" s="4">
        <v>10000</v>
      </c>
      <c r="E33">
        <v>0</v>
      </c>
      <c r="F33" t="s">
        <v>19</v>
      </c>
      <c r="G33" t="s">
        <v>25</v>
      </c>
      <c r="H33" t="s">
        <v>18</v>
      </c>
      <c r="I33">
        <v>1</v>
      </c>
      <c r="J33" t="s">
        <v>16</v>
      </c>
      <c r="K33" t="s">
        <v>24</v>
      </c>
      <c r="L33">
        <v>26</v>
      </c>
      <c r="M33" t="str">
        <f t="shared" si="0"/>
        <v>Adolescent</v>
      </c>
      <c r="N33" t="s">
        <v>15</v>
      </c>
    </row>
    <row r="34" spans="1:14" x14ac:dyDescent="0.3">
      <c r="A34">
        <v>20942</v>
      </c>
      <c r="B34" t="s">
        <v>39</v>
      </c>
      <c r="C34" t="s">
        <v>38</v>
      </c>
      <c r="D34" s="4">
        <v>20000</v>
      </c>
      <c r="E34">
        <v>0</v>
      </c>
      <c r="F34" t="s">
        <v>27</v>
      </c>
      <c r="G34" t="s">
        <v>25</v>
      </c>
      <c r="H34" t="s">
        <v>18</v>
      </c>
      <c r="I34">
        <v>1</v>
      </c>
      <c r="J34" t="s">
        <v>23</v>
      </c>
      <c r="K34" t="s">
        <v>17</v>
      </c>
      <c r="L34">
        <v>31</v>
      </c>
      <c r="M34" t="str">
        <f t="shared" si="0"/>
        <v>Middle Age</v>
      </c>
      <c r="N34" t="s">
        <v>18</v>
      </c>
    </row>
    <row r="35" spans="1:14" x14ac:dyDescent="0.3">
      <c r="A35">
        <v>18484</v>
      </c>
      <c r="B35" t="s">
        <v>39</v>
      </c>
      <c r="C35" t="s">
        <v>37</v>
      </c>
      <c r="D35" s="4">
        <v>80000</v>
      </c>
      <c r="E35">
        <v>2</v>
      </c>
      <c r="F35" t="s">
        <v>27</v>
      </c>
      <c r="G35" t="s">
        <v>14</v>
      </c>
      <c r="H35" t="s">
        <v>18</v>
      </c>
      <c r="I35">
        <v>2</v>
      </c>
      <c r="J35" t="s">
        <v>26</v>
      </c>
      <c r="K35" t="s">
        <v>24</v>
      </c>
      <c r="L35">
        <v>50</v>
      </c>
      <c r="M35" t="str">
        <f t="shared" si="0"/>
        <v>Middle Age</v>
      </c>
      <c r="N35" t="s">
        <v>15</v>
      </c>
    </row>
    <row r="36" spans="1:14" x14ac:dyDescent="0.3">
      <c r="A36">
        <v>12291</v>
      </c>
      <c r="B36" t="s">
        <v>39</v>
      </c>
      <c r="C36" t="s">
        <v>37</v>
      </c>
      <c r="D36" s="4">
        <v>90000</v>
      </c>
      <c r="E36">
        <v>5</v>
      </c>
      <c r="F36" t="s">
        <v>19</v>
      </c>
      <c r="G36" t="s">
        <v>21</v>
      </c>
      <c r="H36" t="s">
        <v>18</v>
      </c>
      <c r="I36">
        <v>2</v>
      </c>
      <c r="J36" t="s">
        <v>22</v>
      </c>
      <c r="K36" t="s">
        <v>17</v>
      </c>
      <c r="L36">
        <v>62</v>
      </c>
      <c r="M36" t="str">
        <f t="shared" si="0"/>
        <v>Old</v>
      </c>
      <c r="N36" t="s">
        <v>15</v>
      </c>
    </row>
    <row r="37" spans="1:14" x14ac:dyDescent="0.3">
      <c r="A37">
        <v>28380</v>
      </c>
      <c r="B37" t="s">
        <v>39</v>
      </c>
      <c r="C37" t="s">
        <v>38</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3">
      <c r="A39">
        <v>27832</v>
      </c>
      <c r="B39" t="s">
        <v>39</v>
      </c>
      <c r="C39" t="s">
        <v>38</v>
      </c>
      <c r="D39" s="4">
        <v>30000</v>
      </c>
      <c r="E39">
        <v>0</v>
      </c>
      <c r="F39" t="s">
        <v>19</v>
      </c>
      <c r="G39" t="s">
        <v>20</v>
      </c>
      <c r="H39" t="s">
        <v>18</v>
      </c>
      <c r="I39">
        <v>1</v>
      </c>
      <c r="J39" t="s">
        <v>22</v>
      </c>
      <c r="K39" t="s">
        <v>17</v>
      </c>
      <c r="L39">
        <v>30</v>
      </c>
      <c r="M39" t="str">
        <f t="shared" si="0"/>
        <v>Adolescent</v>
      </c>
      <c r="N39" t="s">
        <v>18</v>
      </c>
    </row>
    <row r="40" spans="1:14" x14ac:dyDescent="0.3">
      <c r="A40">
        <v>26863</v>
      </c>
      <c r="B40" t="s">
        <v>39</v>
      </c>
      <c r="C40" t="s">
        <v>37</v>
      </c>
      <c r="D40" s="4">
        <v>20000</v>
      </c>
      <c r="E40">
        <v>0</v>
      </c>
      <c r="F40" t="s">
        <v>27</v>
      </c>
      <c r="G40" t="s">
        <v>25</v>
      </c>
      <c r="H40" t="s">
        <v>18</v>
      </c>
      <c r="I40">
        <v>1</v>
      </c>
      <c r="J40" t="s">
        <v>22</v>
      </c>
      <c r="K40" t="s">
        <v>17</v>
      </c>
      <c r="L40">
        <v>28</v>
      </c>
      <c r="M40" t="str">
        <f t="shared" si="0"/>
        <v>Adolescent</v>
      </c>
      <c r="N40" t="s">
        <v>18</v>
      </c>
    </row>
    <row r="41" spans="1:14" x14ac:dyDescent="0.3">
      <c r="A41">
        <v>16259</v>
      </c>
      <c r="B41" t="s">
        <v>39</v>
      </c>
      <c r="C41" t="s">
        <v>38</v>
      </c>
      <c r="D41" s="4">
        <v>10000</v>
      </c>
      <c r="E41">
        <v>4</v>
      </c>
      <c r="F41" t="s">
        <v>29</v>
      </c>
      <c r="G41" t="s">
        <v>25</v>
      </c>
      <c r="H41" t="s">
        <v>15</v>
      </c>
      <c r="I41">
        <v>2</v>
      </c>
      <c r="J41" t="s">
        <v>16</v>
      </c>
      <c r="K41" t="s">
        <v>17</v>
      </c>
      <c r="L41">
        <v>40</v>
      </c>
      <c r="M41" t="str">
        <f t="shared" si="0"/>
        <v>Middle Age</v>
      </c>
      <c r="N41" t="s">
        <v>15</v>
      </c>
    </row>
    <row r="42" spans="1:14" x14ac:dyDescent="0.3">
      <c r="A42">
        <v>27803</v>
      </c>
      <c r="B42" t="s">
        <v>39</v>
      </c>
      <c r="C42" t="s">
        <v>38</v>
      </c>
      <c r="D42" s="4">
        <v>30000</v>
      </c>
      <c r="E42">
        <v>2</v>
      </c>
      <c r="F42" t="s">
        <v>19</v>
      </c>
      <c r="G42" t="s">
        <v>20</v>
      </c>
      <c r="H42" t="s">
        <v>18</v>
      </c>
      <c r="I42">
        <v>0</v>
      </c>
      <c r="J42" t="s">
        <v>16</v>
      </c>
      <c r="K42" t="s">
        <v>17</v>
      </c>
      <c r="L42">
        <v>43</v>
      </c>
      <c r="M42" t="str">
        <f t="shared" si="0"/>
        <v>Middle Age</v>
      </c>
      <c r="N42" t="s">
        <v>18</v>
      </c>
    </row>
    <row r="43" spans="1:14" x14ac:dyDescent="0.3">
      <c r="A43">
        <v>14347</v>
      </c>
      <c r="B43" t="s">
        <v>39</v>
      </c>
      <c r="C43" t="s">
        <v>38</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3">
      <c r="A49">
        <v>29097</v>
      </c>
      <c r="B49" t="s">
        <v>39</v>
      </c>
      <c r="C49" t="s">
        <v>38</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37</v>
      </c>
      <c r="D50" s="4">
        <v>30000</v>
      </c>
      <c r="E50">
        <v>2</v>
      </c>
      <c r="F50" t="s">
        <v>19</v>
      </c>
      <c r="G50" t="s">
        <v>20</v>
      </c>
      <c r="H50" t="s">
        <v>18</v>
      </c>
      <c r="I50">
        <v>2</v>
      </c>
      <c r="J50" t="s">
        <v>16</v>
      </c>
      <c r="K50" t="s">
        <v>17</v>
      </c>
      <c r="L50">
        <v>42</v>
      </c>
      <c r="M50" t="str">
        <f t="shared" si="0"/>
        <v>Middle Age</v>
      </c>
      <c r="N50" t="s">
        <v>18</v>
      </c>
    </row>
    <row r="51" spans="1:14" x14ac:dyDescent="0.3">
      <c r="A51">
        <v>14939</v>
      </c>
      <c r="B51" t="s">
        <v>39</v>
      </c>
      <c r="C51" t="s">
        <v>37</v>
      </c>
      <c r="D51" s="4">
        <v>40000</v>
      </c>
      <c r="E51">
        <v>0</v>
      </c>
      <c r="F51" t="s">
        <v>13</v>
      </c>
      <c r="G51" t="s">
        <v>20</v>
      </c>
      <c r="H51" t="s">
        <v>15</v>
      </c>
      <c r="I51">
        <v>0</v>
      </c>
      <c r="J51" t="s">
        <v>16</v>
      </c>
      <c r="K51" t="s">
        <v>17</v>
      </c>
      <c r="L51">
        <v>39</v>
      </c>
      <c r="M51" t="str">
        <f t="shared" si="0"/>
        <v>Middle Age</v>
      </c>
      <c r="N51" t="s">
        <v>15</v>
      </c>
    </row>
    <row r="52" spans="1:14" x14ac:dyDescent="0.3">
      <c r="A52">
        <v>13826</v>
      </c>
      <c r="B52" t="s">
        <v>39</v>
      </c>
      <c r="C52" t="s">
        <v>38</v>
      </c>
      <c r="D52" s="4">
        <v>30000</v>
      </c>
      <c r="E52">
        <v>0</v>
      </c>
      <c r="F52" t="s">
        <v>19</v>
      </c>
      <c r="G52" t="s">
        <v>20</v>
      </c>
      <c r="H52" t="s">
        <v>18</v>
      </c>
      <c r="I52">
        <v>1</v>
      </c>
      <c r="J52" t="s">
        <v>16</v>
      </c>
      <c r="K52" t="s">
        <v>17</v>
      </c>
      <c r="L52">
        <v>28</v>
      </c>
      <c r="M52" t="str">
        <f t="shared" si="0"/>
        <v>Adolescent</v>
      </c>
      <c r="N52" t="s">
        <v>18</v>
      </c>
    </row>
    <row r="53" spans="1:14" x14ac:dyDescent="0.3">
      <c r="A53">
        <v>20619</v>
      </c>
      <c r="B53" t="s">
        <v>39</v>
      </c>
      <c r="C53" t="s">
        <v>37</v>
      </c>
      <c r="D53" s="4">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3">
      <c r="A55">
        <v>24871</v>
      </c>
      <c r="B55" t="s">
        <v>39</v>
      </c>
      <c r="C55" t="s">
        <v>38</v>
      </c>
      <c r="D55" s="4">
        <v>90000</v>
      </c>
      <c r="E55">
        <v>4</v>
      </c>
      <c r="F55" t="s">
        <v>27</v>
      </c>
      <c r="G55" t="s">
        <v>28</v>
      </c>
      <c r="H55" t="s">
        <v>18</v>
      </c>
      <c r="I55">
        <v>3</v>
      </c>
      <c r="J55" t="s">
        <v>23</v>
      </c>
      <c r="K55" t="s">
        <v>17</v>
      </c>
      <c r="L55">
        <v>56</v>
      </c>
      <c r="M55" t="str">
        <f t="shared" si="0"/>
        <v>Old</v>
      </c>
      <c r="N55" t="s">
        <v>18</v>
      </c>
    </row>
    <row r="56" spans="1:14" x14ac:dyDescent="0.3">
      <c r="A56">
        <v>17319</v>
      </c>
      <c r="B56" t="s">
        <v>39</v>
      </c>
      <c r="C56" t="s">
        <v>38</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37</v>
      </c>
      <c r="D57" s="4">
        <v>80000</v>
      </c>
      <c r="E57">
        <v>4</v>
      </c>
      <c r="F57" t="s">
        <v>27</v>
      </c>
      <c r="G57" t="s">
        <v>21</v>
      </c>
      <c r="H57" t="s">
        <v>15</v>
      </c>
      <c r="I57">
        <v>2</v>
      </c>
      <c r="J57" t="s">
        <v>47</v>
      </c>
      <c r="K57" t="s">
        <v>17</v>
      </c>
      <c r="L57">
        <v>54</v>
      </c>
      <c r="M57" t="str">
        <f t="shared" si="0"/>
        <v>Middle Age</v>
      </c>
      <c r="N57" t="s">
        <v>18</v>
      </c>
    </row>
    <row r="58" spans="1:14" x14ac:dyDescent="0.3">
      <c r="A58">
        <v>12808</v>
      </c>
      <c r="B58" t="s">
        <v>36</v>
      </c>
      <c r="C58" t="s">
        <v>37</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37</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37</v>
      </c>
      <c r="D61" s="4">
        <v>60000</v>
      </c>
      <c r="E61">
        <v>2</v>
      </c>
      <c r="F61" t="s">
        <v>13</v>
      </c>
      <c r="G61" t="s">
        <v>21</v>
      </c>
      <c r="H61" t="s">
        <v>15</v>
      </c>
      <c r="I61">
        <v>1</v>
      </c>
      <c r="J61" t="s">
        <v>22</v>
      </c>
      <c r="K61" t="s">
        <v>24</v>
      </c>
      <c r="L61">
        <v>38</v>
      </c>
      <c r="M61" t="str">
        <f t="shared" si="0"/>
        <v>Middle Age</v>
      </c>
      <c r="N61" t="s">
        <v>15</v>
      </c>
    </row>
    <row r="62" spans="1:14" x14ac:dyDescent="0.3">
      <c r="A62">
        <v>24185</v>
      </c>
      <c r="B62" t="s">
        <v>39</v>
      </c>
      <c r="C62" t="s">
        <v>38</v>
      </c>
      <c r="D62" s="4">
        <v>10000</v>
      </c>
      <c r="E62">
        <v>1</v>
      </c>
      <c r="F62" t="s">
        <v>27</v>
      </c>
      <c r="G62" t="s">
        <v>25</v>
      </c>
      <c r="H62" t="s">
        <v>18</v>
      </c>
      <c r="I62">
        <v>1</v>
      </c>
      <c r="J62" t="s">
        <v>26</v>
      </c>
      <c r="K62" t="s">
        <v>17</v>
      </c>
      <c r="L62">
        <v>45</v>
      </c>
      <c r="M62" t="str">
        <f t="shared" si="0"/>
        <v>Middle Age</v>
      </c>
      <c r="N62" t="s">
        <v>18</v>
      </c>
    </row>
    <row r="63" spans="1:14" x14ac:dyDescent="0.3">
      <c r="A63">
        <v>19291</v>
      </c>
      <c r="B63" t="s">
        <v>39</v>
      </c>
      <c r="C63" t="s">
        <v>38</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37</v>
      </c>
      <c r="D64" s="4">
        <v>40000</v>
      </c>
      <c r="E64">
        <v>2</v>
      </c>
      <c r="F64" t="s">
        <v>13</v>
      </c>
      <c r="G64" t="s">
        <v>28</v>
      </c>
      <c r="H64" t="s">
        <v>15</v>
      </c>
      <c r="I64">
        <v>1</v>
      </c>
      <c r="J64" t="s">
        <v>16</v>
      </c>
      <c r="K64" t="s">
        <v>24</v>
      </c>
      <c r="L64">
        <v>52</v>
      </c>
      <c r="M64" t="str">
        <f t="shared" si="0"/>
        <v>Middle Age</v>
      </c>
      <c r="N64" t="s">
        <v>15</v>
      </c>
    </row>
    <row r="65" spans="1:14" x14ac:dyDescent="0.3">
      <c r="A65">
        <v>16185</v>
      </c>
      <c r="B65" t="s">
        <v>39</v>
      </c>
      <c r="C65" t="s">
        <v>37</v>
      </c>
      <c r="D65" s="4">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3">
      <c r="A67">
        <v>29337</v>
      </c>
      <c r="B67" t="s">
        <v>39</v>
      </c>
      <c r="C67" t="s">
        <v>37</v>
      </c>
      <c r="D67" s="4">
        <v>30000</v>
      </c>
      <c r="E67">
        <v>2</v>
      </c>
      <c r="F67" t="s">
        <v>19</v>
      </c>
      <c r="G67" t="s">
        <v>20</v>
      </c>
      <c r="H67" t="s">
        <v>15</v>
      </c>
      <c r="I67">
        <v>2</v>
      </c>
      <c r="J67" t="s">
        <v>23</v>
      </c>
      <c r="K67" t="s">
        <v>24</v>
      </c>
      <c r="L67">
        <v>68</v>
      </c>
      <c r="M67" t="str">
        <f t="shared" ref="M67:M130" si="1">IF(L67&gt;54,"Old",IF(L67&gt;=31,"Middle Age",IF(L67&lt;31,"Adolescent")))</f>
        <v>Old</v>
      </c>
      <c r="N67" t="s">
        <v>18</v>
      </c>
    </row>
    <row r="68" spans="1:14" x14ac:dyDescent="0.3">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3">
      <c r="A69">
        <v>25303</v>
      </c>
      <c r="B69" t="s">
        <v>39</v>
      </c>
      <c r="C69" t="s">
        <v>37</v>
      </c>
      <c r="D69" s="4">
        <v>30000</v>
      </c>
      <c r="E69">
        <v>0</v>
      </c>
      <c r="F69" t="s">
        <v>27</v>
      </c>
      <c r="G69" t="s">
        <v>25</v>
      </c>
      <c r="H69" t="s">
        <v>15</v>
      </c>
      <c r="I69">
        <v>1</v>
      </c>
      <c r="J69" t="s">
        <v>22</v>
      </c>
      <c r="K69" t="s">
        <v>17</v>
      </c>
      <c r="L69">
        <v>33</v>
      </c>
      <c r="M69" t="str">
        <f t="shared" si="1"/>
        <v>Middle Age</v>
      </c>
      <c r="N69" t="s">
        <v>15</v>
      </c>
    </row>
    <row r="70" spans="1:14" x14ac:dyDescent="0.3">
      <c r="A70">
        <v>14813</v>
      </c>
      <c r="B70" t="s">
        <v>39</v>
      </c>
      <c r="C70" t="s">
        <v>38</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3">
      <c r="A72">
        <v>14238</v>
      </c>
      <c r="B72" t="s">
        <v>36</v>
      </c>
      <c r="C72" t="s">
        <v>37</v>
      </c>
      <c r="D72" s="4">
        <v>120000</v>
      </c>
      <c r="E72">
        <v>0</v>
      </c>
      <c r="F72" t="s">
        <v>29</v>
      </c>
      <c r="G72" t="s">
        <v>21</v>
      </c>
      <c r="H72" t="s">
        <v>15</v>
      </c>
      <c r="I72">
        <v>4</v>
      </c>
      <c r="J72" t="s">
        <v>47</v>
      </c>
      <c r="K72" t="s">
        <v>24</v>
      </c>
      <c r="L72">
        <v>36</v>
      </c>
      <c r="M72" t="str">
        <f t="shared" si="1"/>
        <v>Middle Age</v>
      </c>
      <c r="N72" t="s">
        <v>15</v>
      </c>
    </row>
    <row r="73" spans="1:14" x14ac:dyDescent="0.3">
      <c r="A73">
        <v>16200</v>
      </c>
      <c r="B73" t="s">
        <v>39</v>
      </c>
      <c r="C73" t="s">
        <v>38</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3">
      <c r="A75">
        <v>26956</v>
      </c>
      <c r="B75" t="s">
        <v>39</v>
      </c>
      <c r="C75" t="s">
        <v>38</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3">
      <c r="A77">
        <v>12678</v>
      </c>
      <c r="B77" t="s">
        <v>39</v>
      </c>
      <c r="C77" t="s">
        <v>38</v>
      </c>
      <c r="D77" s="4">
        <v>130000</v>
      </c>
      <c r="E77">
        <v>4</v>
      </c>
      <c r="F77" t="s">
        <v>27</v>
      </c>
      <c r="G77" t="s">
        <v>28</v>
      </c>
      <c r="H77" t="s">
        <v>15</v>
      </c>
      <c r="I77">
        <v>4</v>
      </c>
      <c r="J77" t="s">
        <v>16</v>
      </c>
      <c r="K77" t="s">
        <v>24</v>
      </c>
      <c r="L77">
        <v>31</v>
      </c>
      <c r="M77" t="str">
        <f t="shared" si="1"/>
        <v>Middle Age</v>
      </c>
      <c r="N77" t="s">
        <v>18</v>
      </c>
    </row>
    <row r="78" spans="1:14" x14ac:dyDescent="0.3">
      <c r="A78">
        <v>16188</v>
      </c>
      <c r="B78" t="s">
        <v>39</v>
      </c>
      <c r="C78" t="s">
        <v>38</v>
      </c>
      <c r="D78" s="4">
        <v>20000</v>
      </c>
      <c r="E78">
        <v>0</v>
      </c>
      <c r="F78" t="s">
        <v>29</v>
      </c>
      <c r="G78" t="s">
        <v>25</v>
      </c>
      <c r="H78" t="s">
        <v>18</v>
      </c>
      <c r="I78">
        <v>2</v>
      </c>
      <c r="J78" t="s">
        <v>26</v>
      </c>
      <c r="K78" t="s">
        <v>17</v>
      </c>
      <c r="L78">
        <v>26</v>
      </c>
      <c r="M78" t="str">
        <f t="shared" si="1"/>
        <v>Adolescent</v>
      </c>
      <c r="N78" t="s">
        <v>18</v>
      </c>
    </row>
    <row r="79" spans="1:14" x14ac:dyDescent="0.3">
      <c r="A79">
        <v>27969</v>
      </c>
      <c r="B79" t="s">
        <v>36</v>
      </c>
      <c r="C79" t="s">
        <v>37</v>
      </c>
      <c r="D79" s="4">
        <v>80000</v>
      </c>
      <c r="E79">
        <v>0</v>
      </c>
      <c r="F79" t="s">
        <v>13</v>
      </c>
      <c r="G79" t="s">
        <v>21</v>
      </c>
      <c r="H79" t="s">
        <v>15</v>
      </c>
      <c r="I79">
        <v>2</v>
      </c>
      <c r="J79" t="s">
        <v>47</v>
      </c>
      <c r="K79" t="s">
        <v>24</v>
      </c>
      <c r="L79">
        <v>29</v>
      </c>
      <c r="M79" t="str">
        <f t="shared" si="1"/>
        <v>Adolescent</v>
      </c>
      <c r="N79" t="s">
        <v>15</v>
      </c>
    </row>
    <row r="80" spans="1:14" x14ac:dyDescent="0.3">
      <c r="A80">
        <v>15752</v>
      </c>
      <c r="B80" t="s">
        <v>36</v>
      </c>
      <c r="C80" t="s">
        <v>37</v>
      </c>
      <c r="D80" s="4">
        <v>80000</v>
      </c>
      <c r="E80">
        <v>2</v>
      </c>
      <c r="F80" t="s">
        <v>27</v>
      </c>
      <c r="G80" t="s">
        <v>14</v>
      </c>
      <c r="H80" t="s">
        <v>18</v>
      </c>
      <c r="I80">
        <v>2</v>
      </c>
      <c r="J80" t="s">
        <v>26</v>
      </c>
      <c r="K80" t="s">
        <v>24</v>
      </c>
      <c r="L80">
        <v>50</v>
      </c>
      <c r="M80" t="str">
        <f t="shared" si="1"/>
        <v>Middle Age</v>
      </c>
      <c r="N80" t="s">
        <v>15</v>
      </c>
    </row>
    <row r="81" spans="1:14" x14ac:dyDescent="0.3">
      <c r="A81">
        <v>27745</v>
      </c>
      <c r="B81" t="s">
        <v>39</v>
      </c>
      <c r="C81" t="s">
        <v>37</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3">
      <c r="A83">
        <v>19461</v>
      </c>
      <c r="B83" t="s">
        <v>39</v>
      </c>
      <c r="C83" t="s">
        <v>38</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37</v>
      </c>
      <c r="D84" s="4">
        <v>30000</v>
      </c>
      <c r="E84">
        <v>0</v>
      </c>
      <c r="F84" t="s">
        <v>13</v>
      </c>
      <c r="G84" t="s">
        <v>20</v>
      </c>
      <c r="H84" t="s">
        <v>15</v>
      </c>
      <c r="I84">
        <v>0</v>
      </c>
      <c r="J84" t="s">
        <v>16</v>
      </c>
      <c r="K84" t="s">
        <v>17</v>
      </c>
      <c r="L84">
        <v>47</v>
      </c>
      <c r="M84" t="str">
        <f t="shared" si="1"/>
        <v>Middle Age</v>
      </c>
      <c r="N84" t="s">
        <v>15</v>
      </c>
    </row>
    <row r="85" spans="1:14" x14ac:dyDescent="0.3">
      <c r="A85">
        <v>28412</v>
      </c>
      <c r="B85" t="s">
        <v>39</v>
      </c>
      <c r="C85" t="s">
        <v>37</v>
      </c>
      <c r="D85" s="4">
        <v>20000</v>
      </c>
      <c r="E85">
        <v>0</v>
      </c>
      <c r="F85" t="s">
        <v>27</v>
      </c>
      <c r="G85" t="s">
        <v>25</v>
      </c>
      <c r="H85" t="s">
        <v>18</v>
      </c>
      <c r="I85">
        <v>1</v>
      </c>
      <c r="J85" t="s">
        <v>22</v>
      </c>
      <c r="K85" t="s">
        <v>17</v>
      </c>
      <c r="L85">
        <v>29</v>
      </c>
      <c r="M85" t="str">
        <f t="shared" si="1"/>
        <v>Adolescent</v>
      </c>
      <c r="N85" t="s">
        <v>18</v>
      </c>
    </row>
    <row r="86" spans="1:14" x14ac:dyDescent="0.3">
      <c r="A86">
        <v>24485</v>
      </c>
      <c r="B86" t="s">
        <v>39</v>
      </c>
      <c r="C86" t="s">
        <v>37</v>
      </c>
      <c r="D86" s="4">
        <v>40000</v>
      </c>
      <c r="E86">
        <v>2</v>
      </c>
      <c r="F86" t="s">
        <v>13</v>
      </c>
      <c r="G86" t="s">
        <v>28</v>
      </c>
      <c r="H86" t="s">
        <v>18</v>
      </c>
      <c r="I86">
        <v>1</v>
      </c>
      <c r="J86" t="s">
        <v>23</v>
      </c>
      <c r="K86" t="s">
        <v>24</v>
      </c>
      <c r="L86">
        <v>52</v>
      </c>
      <c r="M86" t="str">
        <f t="shared" si="1"/>
        <v>Middle Age</v>
      </c>
      <c r="N86" t="s">
        <v>15</v>
      </c>
    </row>
    <row r="87" spans="1:14" x14ac:dyDescent="0.3">
      <c r="A87">
        <v>16514</v>
      </c>
      <c r="B87" t="s">
        <v>39</v>
      </c>
      <c r="C87" t="s">
        <v>37</v>
      </c>
      <c r="D87" s="4">
        <v>10000</v>
      </c>
      <c r="E87">
        <v>0</v>
      </c>
      <c r="F87" t="s">
        <v>19</v>
      </c>
      <c r="G87" t="s">
        <v>25</v>
      </c>
      <c r="H87" t="s">
        <v>15</v>
      </c>
      <c r="I87">
        <v>1</v>
      </c>
      <c r="J87" t="s">
        <v>26</v>
      </c>
      <c r="K87" t="s">
        <v>24</v>
      </c>
      <c r="L87">
        <v>26</v>
      </c>
      <c r="M87" t="str">
        <f t="shared" si="1"/>
        <v>Adolescent</v>
      </c>
      <c r="N87" t="s">
        <v>15</v>
      </c>
    </row>
    <row r="88" spans="1:14" x14ac:dyDescent="0.3">
      <c r="A88">
        <v>17191</v>
      </c>
      <c r="B88" t="s">
        <v>39</v>
      </c>
      <c r="C88" t="s">
        <v>37</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37</v>
      </c>
      <c r="D89" s="4">
        <v>80000</v>
      </c>
      <c r="E89">
        <v>5</v>
      </c>
      <c r="F89" t="s">
        <v>13</v>
      </c>
      <c r="G89" t="s">
        <v>21</v>
      </c>
      <c r="H89" t="s">
        <v>15</v>
      </c>
      <c r="I89">
        <v>4</v>
      </c>
      <c r="J89" t="s">
        <v>26</v>
      </c>
      <c r="K89" t="s">
        <v>24</v>
      </c>
      <c r="L89">
        <v>40</v>
      </c>
      <c r="M89" t="str">
        <f t="shared" si="1"/>
        <v>Middle Age</v>
      </c>
      <c r="N89" t="s">
        <v>18</v>
      </c>
    </row>
    <row r="90" spans="1:14" x14ac:dyDescent="0.3">
      <c r="A90">
        <v>24119</v>
      </c>
      <c r="B90" t="s">
        <v>39</v>
      </c>
      <c r="C90" t="s">
        <v>37</v>
      </c>
      <c r="D90" s="4">
        <v>30000</v>
      </c>
      <c r="E90">
        <v>0</v>
      </c>
      <c r="F90" t="s">
        <v>19</v>
      </c>
      <c r="G90" t="s">
        <v>20</v>
      </c>
      <c r="H90" t="s">
        <v>18</v>
      </c>
      <c r="I90">
        <v>1</v>
      </c>
      <c r="J90" t="s">
        <v>22</v>
      </c>
      <c r="K90" t="s">
        <v>17</v>
      </c>
      <c r="L90">
        <v>29</v>
      </c>
      <c r="M90" t="str">
        <f t="shared" si="1"/>
        <v>Adolescent</v>
      </c>
      <c r="N90" t="s">
        <v>18</v>
      </c>
    </row>
    <row r="91" spans="1:14" x14ac:dyDescent="0.3">
      <c r="A91">
        <v>25458</v>
      </c>
      <c r="B91" t="s">
        <v>36</v>
      </c>
      <c r="C91" t="s">
        <v>37</v>
      </c>
      <c r="D91" s="4">
        <v>20000</v>
      </c>
      <c r="E91">
        <v>1</v>
      </c>
      <c r="F91" t="s">
        <v>27</v>
      </c>
      <c r="G91" t="s">
        <v>25</v>
      </c>
      <c r="H91" t="s">
        <v>18</v>
      </c>
      <c r="I91">
        <v>1</v>
      </c>
      <c r="J91" t="s">
        <v>26</v>
      </c>
      <c r="K91" t="s">
        <v>17</v>
      </c>
      <c r="L91">
        <v>40</v>
      </c>
      <c r="M91" t="str">
        <f t="shared" si="1"/>
        <v>Middle Age</v>
      </c>
      <c r="N91" t="s">
        <v>15</v>
      </c>
    </row>
    <row r="92" spans="1:14" x14ac:dyDescent="0.3">
      <c r="A92">
        <v>26886</v>
      </c>
      <c r="B92" t="s">
        <v>39</v>
      </c>
      <c r="C92" t="s">
        <v>38</v>
      </c>
      <c r="D92" s="4">
        <v>30000</v>
      </c>
      <c r="E92">
        <v>0</v>
      </c>
      <c r="F92" t="s">
        <v>19</v>
      </c>
      <c r="G92" t="s">
        <v>20</v>
      </c>
      <c r="H92" t="s">
        <v>18</v>
      </c>
      <c r="I92">
        <v>1</v>
      </c>
      <c r="J92" t="s">
        <v>16</v>
      </c>
      <c r="K92" t="s">
        <v>17</v>
      </c>
      <c r="L92">
        <v>29</v>
      </c>
      <c r="M92" t="str">
        <f t="shared" si="1"/>
        <v>Adolescent</v>
      </c>
      <c r="N92" t="s">
        <v>15</v>
      </c>
    </row>
    <row r="93" spans="1:14" x14ac:dyDescent="0.3">
      <c r="A93">
        <v>28436</v>
      </c>
      <c r="B93" t="s">
        <v>39</v>
      </c>
      <c r="C93" t="s">
        <v>37</v>
      </c>
      <c r="D93" s="4">
        <v>30000</v>
      </c>
      <c r="E93">
        <v>0</v>
      </c>
      <c r="F93" t="s">
        <v>19</v>
      </c>
      <c r="G93" t="s">
        <v>20</v>
      </c>
      <c r="H93" t="s">
        <v>18</v>
      </c>
      <c r="I93">
        <v>1</v>
      </c>
      <c r="J93" t="s">
        <v>16</v>
      </c>
      <c r="K93" t="s">
        <v>17</v>
      </c>
      <c r="L93">
        <v>30</v>
      </c>
      <c r="M93" t="str">
        <f t="shared" si="1"/>
        <v>Adolescent</v>
      </c>
      <c r="N93" t="s">
        <v>15</v>
      </c>
    </row>
    <row r="94" spans="1:14" x14ac:dyDescent="0.3">
      <c r="A94">
        <v>19562</v>
      </c>
      <c r="B94" t="s">
        <v>39</v>
      </c>
      <c r="C94" t="s">
        <v>38</v>
      </c>
      <c r="D94" s="4">
        <v>60000</v>
      </c>
      <c r="E94">
        <v>2</v>
      </c>
      <c r="F94" t="s">
        <v>13</v>
      </c>
      <c r="G94" t="s">
        <v>21</v>
      </c>
      <c r="H94" t="s">
        <v>15</v>
      </c>
      <c r="I94">
        <v>1</v>
      </c>
      <c r="J94" t="s">
        <v>22</v>
      </c>
      <c r="K94" t="s">
        <v>24</v>
      </c>
      <c r="L94">
        <v>37</v>
      </c>
      <c r="M94" t="str">
        <f t="shared" si="1"/>
        <v>Middle Age</v>
      </c>
      <c r="N94" t="s">
        <v>15</v>
      </c>
    </row>
    <row r="95" spans="1:14" x14ac:dyDescent="0.3">
      <c r="A95">
        <v>15608</v>
      </c>
      <c r="B95" t="s">
        <v>39</v>
      </c>
      <c r="C95" t="s">
        <v>38</v>
      </c>
      <c r="D95" s="4">
        <v>30000</v>
      </c>
      <c r="E95">
        <v>0</v>
      </c>
      <c r="F95" t="s">
        <v>19</v>
      </c>
      <c r="G95" t="s">
        <v>20</v>
      </c>
      <c r="H95" t="s">
        <v>18</v>
      </c>
      <c r="I95">
        <v>1</v>
      </c>
      <c r="J95" t="s">
        <v>22</v>
      </c>
      <c r="K95" t="s">
        <v>17</v>
      </c>
      <c r="L95">
        <v>33</v>
      </c>
      <c r="M95" t="str">
        <f t="shared" si="1"/>
        <v>Middle Age</v>
      </c>
      <c r="N95" t="s">
        <v>18</v>
      </c>
    </row>
    <row r="96" spans="1:14" x14ac:dyDescent="0.3">
      <c r="A96">
        <v>16487</v>
      </c>
      <c r="B96" t="s">
        <v>39</v>
      </c>
      <c r="C96" t="s">
        <v>38</v>
      </c>
      <c r="D96" s="4">
        <v>30000</v>
      </c>
      <c r="E96">
        <v>3</v>
      </c>
      <c r="F96" t="s">
        <v>27</v>
      </c>
      <c r="G96" t="s">
        <v>14</v>
      </c>
      <c r="H96" t="s">
        <v>15</v>
      </c>
      <c r="I96">
        <v>2</v>
      </c>
      <c r="J96" t="s">
        <v>23</v>
      </c>
      <c r="K96" t="s">
        <v>24</v>
      </c>
      <c r="L96">
        <v>55</v>
      </c>
      <c r="M96" t="str">
        <f t="shared" si="1"/>
        <v>Old</v>
      </c>
      <c r="N96" t="s">
        <v>18</v>
      </c>
    </row>
    <row r="97" spans="1:14" x14ac:dyDescent="0.3">
      <c r="A97">
        <v>17197</v>
      </c>
      <c r="B97" t="s">
        <v>39</v>
      </c>
      <c r="C97" t="s">
        <v>38</v>
      </c>
      <c r="D97" s="4">
        <v>90000</v>
      </c>
      <c r="E97">
        <v>5</v>
      </c>
      <c r="F97" t="s">
        <v>19</v>
      </c>
      <c r="G97" t="s">
        <v>21</v>
      </c>
      <c r="H97" t="s">
        <v>15</v>
      </c>
      <c r="I97">
        <v>2</v>
      </c>
      <c r="J97" t="s">
        <v>47</v>
      </c>
      <c r="K97" t="s">
        <v>17</v>
      </c>
      <c r="L97">
        <v>62</v>
      </c>
      <c r="M97" t="str">
        <f t="shared" si="1"/>
        <v>Old</v>
      </c>
      <c r="N97" t="s">
        <v>18</v>
      </c>
    </row>
    <row r="98" spans="1:14" x14ac:dyDescent="0.3">
      <c r="A98">
        <v>12507</v>
      </c>
      <c r="B98" t="s">
        <v>36</v>
      </c>
      <c r="C98" t="s">
        <v>37</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37</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37</v>
      </c>
      <c r="D100" s="4">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39</v>
      </c>
      <c r="C102" t="s">
        <v>37</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39</v>
      </c>
      <c r="C103" t="s">
        <v>37</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37</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39</v>
      </c>
      <c r="C105" t="s">
        <v>37</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39</v>
      </c>
      <c r="C106" t="s">
        <v>38</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39</v>
      </c>
      <c r="C107" t="s">
        <v>38</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37</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39</v>
      </c>
      <c r="C109" t="s">
        <v>38</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39</v>
      </c>
      <c r="C111" t="s">
        <v>37</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39</v>
      </c>
      <c r="C112" t="s">
        <v>38</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39</v>
      </c>
      <c r="C113" t="s">
        <v>38</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39</v>
      </c>
      <c r="C114" t="s">
        <v>38</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39</v>
      </c>
      <c r="C115" t="s">
        <v>38</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37</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39</v>
      </c>
      <c r="C117" t="s">
        <v>37</v>
      </c>
      <c r="D117" s="4">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39</v>
      </c>
      <c r="C119" t="s">
        <v>38</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37</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39</v>
      </c>
      <c r="C121" t="s">
        <v>38</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37</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39</v>
      </c>
      <c r="C124" t="s">
        <v>38</v>
      </c>
      <c r="D124" s="4">
        <v>80000</v>
      </c>
      <c r="E124">
        <v>0</v>
      </c>
      <c r="F124" t="s">
        <v>13</v>
      </c>
      <c r="G124" t="s">
        <v>21</v>
      </c>
      <c r="H124" t="s">
        <v>18</v>
      </c>
      <c r="I124">
        <v>3</v>
      </c>
      <c r="J124" t="s">
        <v>47</v>
      </c>
      <c r="K124" t="s">
        <v>24</v>
      </c>
      <c r="L124">
        <v>31</v>
      </c>
      <c r="M124" t="str">
        <f t="shared" si="1"/>
        <v>Middle Age</v>
      </c>
      <c r="N124" t="s">
        <v>18</v>
      </c>
    </row>
    <row r="125" spans="1:14" x14ac:dyDescent="0.3">
      <c r="A125">
        <v>23627</v>
      </c>
      <c r="B125" t="s">
        <v>39</v>
      </c>
      <c r="C125" t="s">
        <v>38</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39</v>
      </c>
      <c r="C126" t="s">
        <v>38</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37</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39</v>
      </c>
      <c r="C128" t="s">
        <v>37</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37</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39</v>
      </c>
      <c r="C130" t="s">
        <v>37</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39</v>
      </c>
      <c r="C131" t="s">
        <v>37</v>
      </c>
      <c r="D131" s="4">
        <v>10000</v>
      </c>
      <c r="E131">
        <v>3</v>
      </c>
      <c r="F131" t="s">
        <v>27</v>
      </c>
      <c r="G131" t="s">
        <v>25</v>
      </c>
      <c r="H131" t="s">
        <v>15</v>
      </c>
      <c r="I131">
        <v>1</v>
      </c>
      <c r="J131" t="s">
        <v>16</v>
      </c>
      <c r="K131" t="s">
        <v>17</v>
      </c>
      <c r="L131">
        <v>39</v>
      </c>
      <c r="M131" t="str">
        <f t="shared" ref="M131:M194" si="2">IF(L131&gt;54,"Old",IF(L131&gt;=31,"Middle Age",IF(L131&lt;31,"Adolescent")))</f>
        <v>Middle Age</v>
      </c>
      <c r="N131" t="s">
        <v>15</v>
      </c>
    </row>
    <row r="132" spans="1:14" x14ac:dyDescent="0.3">
      <c r="A132">
        <v>12993</v>
      </c>
      <c r="B132" t="s">
        <v>36</v>
      </c>
      <c r="C132" t="s">
        <v>37</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37</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37</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39</v>
      </c>
      <c r="C135" t="s">
        <v>37</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39</v>
      </c>
      <c r="C136" t="s">
        <v>38</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37</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39</v>
      </c>
      <c r="C138" t="s">
        <v>38</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39</v>
      </c>
      <c r="C139" t="s">
        <v>37</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39</v>
      </c>
      <c r="C141" t="s">
        <v>38</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39</v>
      </c>
      <c r="C142" t="s">
        <v>37</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39</v>
      </c>
      <c r="C143" t="s">
        <v>38</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37</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4">
        <v>80000</v>
      </c>
      <c r="E145">
        <v>0</v>
      </c>
      <c r="F145" t="s">
        <v>13</v>
      </c>
      <c r="G145" t="s">
        <v>21</v>
      </c>
      <c r="H145" t="s">
        <v>15</v>
      </c>
      <c r="I145">
        <v>3</v>
      </c>
      <c r="J145" t="s">
        <v>47</v>
      </c>
      <c r="K145" t="s">
        <v>24</v>
      </c>
      <c r="L145">
        <v>32</v>
      </c>
      <c r="M145" t="str">
        <f t="shared" si="2"/>
        <v>Middle Age</v>
      </c>
      <c r="N145" t="s">
        <v>18</v>
      </c>
    </row>
    <row r="146" spans="1:14" x14ac:dyDescent="0.3">
      <c r="A146">
        <v>20877</v>
      </c>
      <c r="B146" t="s">
        <v>39</v>
      </c>
      <c r="C146" t="s">
        <v>37</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37</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37</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39</v>
      </c>
      <c r="C151" t="s">
        <v>37</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37</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39</v>
      </c>
      <c r="C153" t="s">
        <v>37</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39</v>
      </c>
      <c r="C154" t="s">
        <v>38</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37</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39</v>
      </c>
      <c r="C156" t="s">
        <v>37</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39</v>
      </c>
      <c r="C157" t="s">
        <v>38</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39</v>
      </c>
      <c r="C159" t="s">
        <v>37</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39</v>
      </c>
      <c r="C160" t="s">
        <v>38</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39</v>
      </c>
      <c r="C162" t="s">
        <v>38</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39</v>
      </c>
      <c r="C164" t="s">
        <v>38</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39</v>
      </c>
      <c r="C165" t="s">
        <v>37</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37</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39</v>
      </c>
      <c r="C168" t="s">
        <v>37</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39</v>
      </c>
      <c r="C169" t="s">
        <v>37</v>
      </c>
      <c r="D169" s="4">
        <v>100000</v>
      </c>
      <c r="E169">
        <v>0</v>
      </c>
      <c r="F169" t="s">
        <v>27</v>
      </c>
      <c r="G169" t="s">
        <v>28</v>
      </c>
      <c r="H169" t="s">
        <v>15</v>
      </c>
      <c r="I169">
        <v>3</v>
      </c>
      <c r="J169" t="s">
        <v>47</v>
      </c>
      <c r="K169" t="s">
        <v>24</v>
      </c>
      <c r="L169">
        <v>35</v>
      </c>
      <c r="M169" t="str">
        <f t="shared" si="2"/>
        <v>Middle Age</v>
      </c>
      <c r="N169" t="s">
        <v>18</v>
      </c>
    </row>
    <row r="170" spans="1:14" x14ac:dyDescent="0.3">
      <c r="A170">
        <v>14058</v>
      </c>
      <c r="B170" t="s">
        <v>39</v>
      </c>
      <c r="C170" t="s">
        <v>37</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37</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37</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39</v>
      </c>
      <c r="C176" t="s">
        <v>37</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39</v>
      </c>
      <c r="C177" t="s">
        <v>38</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39</v>
      </c>
      <c r="C178" t="s">
        <v>38</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39</v>
      </c>
      <c r="C179" t="s">
        <v>38</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37</v>
      </c>
      <c r="D180" s="4">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39</v>
      </c>
      <c r="C182" t="s">
        <v>37</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39</v>
      </c>
      <c r="C185" t="s">
        <v>37</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4">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39</v>
      </c>
      <c r="C189" t="s">
        <v>37</v>
      </c>
      <c r="D189" s="4">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4">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37</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37</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39</v>
      </c>
      <c r="C193" t="s">
        <v>37</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39</v>
      </c>
      <c r="C194" t="s">
        <v>38</v>
      </c>
      <c r="D194" s="4">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4">
        <v>70000</v>
      </c>
      <c r="E195">
        <v>5</v>
      </c>
      <c r="F195" t="s">
        <v>13</v>
      </c>
      <c r="G195" t="s">
        <v>21</v>
      </c>
      <c r="H195" t="s">
        <v>15</v>
      </c>
      <c r="I195">
        <v>4</v>
      </c>
      <c r="J195" t="s">
        <v>47</v>
      </c>
      <c r="K195" t="s">
        <v>24</v>
      </c>
      <c r="L195">
        <v>41</v>
      </c>
      <c r="M195" t="str">
        <f t="shared" ref="M195:M258" si="3">IF(L195&gt;54,"Old",IF(L195&gt;=31,"Middle Age",IF(L195&lt;31,"Adolescent")))</f>
        <v>Middle Age</v>
      </c>
      <c r="N195" t="s">
        <v>18</v>
      </c>
    </row>
    <row r="196" spans="1:14" x14ac:dyDescent="0.3">
      <c r="A196">
        <v>17843</v>
      </c>
      <c r="B196" t="s">
        <v>39</v>
      </c>
      <c r="C196" t="s">
        <v>38</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39</v>
      </c>
      <c r="C197" t="s">
        <v>37</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39</v>
      </c>
      <c r="C198" t="s">
        <v>38</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37</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39</v>
      </c>
      <c r="C200" t="s">
        <v>38</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39</v>
      </c>
      <c r="C201" t="s">
        <v>37</v>
      </c>
      <c r="D201" s="4">
        <v>80000</v>
      </c>
      <c r="E201">
        <v>0</v>
      </c>
      <c r="F201" t="s">
        <v>13</v>
      </c>
      <c r="G201" t="s">
        <v>21</v>
      </c>
      <c r="H201" t="s">
        <v>18</v>
      </c>
      <c r="I201">
        <v>3</v>
      </c>
      <c r="J201" t="s">
        <v>47</v>
      </c>
      <c r="K201" t="s">
        <v>24</v>
      </c>
      <c r="L201">
        <v>33</v>
      </c>
      <c r="M201" t="str">
        <f t="shared" si="3"/>
        <v>Middle Age</v>
      </c>
      <c r="N201" t="s">
        <v>15</v>
      </c>
    </row>
    <row r="202" spans="1:14" x14ac:dyDescent="0.3">
      <c r="A202">
        <v>24584</v>
      </c>
      <c r="B202" t="s">
        <v>39</v>
      </c>
      <c r="C202" t="s">
        <v>37</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37</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39</v>
      </c>
      <c r="C204" t="s">
        <v>37</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39</v>
      </c>
      <c r="C205" t="s">
        <v>38</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39</v>
      </c>
      <c r="C206" t="s">
        <v>38</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37</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39</v>
      </c>
      <c r="C208" t="s">
        <v>37</v>
      </c>
      <c r="D208" s="4">
        <v>90000</v>
      </c>
      <c r="E208">
        <v>5</v>
      </c>
      <c r="F208" t="s">
        <v>19</v>
      </c>
      <c r="G208" t="s">
        <v>21</v>
      </c>
      <c r="H208" t="s">
        <v>18</v>
      </c>
      <c r="I208">
        <v>2</v>
      </c>
      <c r="J208" t="s">
        <v>47</v>
      </c>
      <c r="K208" t="s">
        <v>17</v>
      </c>
      <c r="L208">
        <v>62</v>
      </c>
      <c r="M208" t="str">
        <f t="shared" si="3"/>
        <v>Old</v>
      </c>
      <c r="N208" t="s">
        <v>18</v>
      </c>
    </row>
    <row r="209" spans="1:14" x14ac:dyDescent="0.3">
      <c r="A209">
        <v>28729</v>
      </c>
      <c r="B209" t="s">
        <v>39</v>
      </c>
      <c r="C209" t="s">
        <v>38</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39</v>
      </c>
      <c r="C210" t="s">
        <v>38</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39</v>
      </c>
      <c r="C211" t="s">
        <v>38</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39</v>
      </c>
      <c r="C214" t="s">
        <v>38</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39</v>
      </c>
      <c r="C215" t="s">
        <v>37</v>
      </c>
      <c r="D215" s="4">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37</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39</v>
      </c>
      <c r="C217" t="s">
        <v>37</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37</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39</v>
      </c>
      <c r="C219" t="s">
        <v>38</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39</v>
      </c>
      <c r="C220" t="s">
        <v>37</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39</v>
      </c>
      <c r="C221" t="s">
        <v>37</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37</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39</v>
      </c>
      <c r="C223" t="s">
        <v>37</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39</v>
      </c>
      <c r="C225" t="s">
        <v>38</v>
      </c>
      <c r="D225" s="4">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37</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39</v>
      </c>
      <c r="C228" t="s">
        <v>38</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37</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39</v>
      </c>
      <c r="C231" t="s">
        <v>37</v>
      </c>
      <c r="D231" s="4">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37</v>
      </c>
      <c r="D232" s="4">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37</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39</v>
      </c>
      <c r="C236" t="s">
        <v>37</v>
      </c>
      <c r="D236" s="4">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39</v>
      </c>
      <c r="C238" t="s">
        <v>38</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37</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39</v>
      </c>
      <c r="C241" t="s">
        <v>38</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37</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39</v>
      </c>
      <c r="C243" t="s">
        <v>38</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39</v>
      </c>
      <c r="C244" t="s">
        <v>37</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39</v>
      </c>
      <c r="C245" t="s">
        <v>38</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4">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37</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4">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39</v>
      </c>
      <c r="C251" t="s">
        <v>37</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37</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37</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39</v>
      </c>
      <c r="C254" t="s">
        <v>37</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37</v>
      </c>
      <c r="D255" s="4">
        <v>100000</v>
      </c>
      <c r="E255">
        <v>3</v>
      </c>
      <c r="F255" t="s">
        <v>29</v>
      </c>
      <c r="G255" t="s">
        <v>21</v>
      </c>
      <c r="H255" t="s">
        <v>15</v>
      </c>
      <c r="I255">
        <v>0</v>
      </c>
      <c r="J255" t="s">
        <v>47</v>
      </c>
      <c r="K255" t="s">
        <v>17</v>
      </c>
      <c r="L255">
        <v>59</v>
      </c>
      <c r="M255" t="str">
        <f t="shared" si="3"/>
        <v>Old</v>
      </c>
      <c r="N255" t="s">
        <v>15</v>
      </c>
    </row>
    <row r="256" spans="1:14" x14ac:dyDescent="0.3">
      <c r="A256">
        <v>21375</v>
      </c>
      <c r="B256" t="s">
        <v>39</v>
      </c>
      <c r="C256" t="s">
        <v>37</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39</v>
      </c>
      <c r="C257" t="s">
        <v>38</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37</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39</v>
      </c>
      <c r="C259" t="s">
        <v>38</v>
      </c>
      <c r="D259" s="4">
        <v>50000</v>
      </c>
      <c r="E259">
        <v>0</v>
      </c>
      <c r="F259" t="s">
        <v>31</v>
      </c>
      <c r="G259" t="s">
        <v>14</v>
      </c>
      <c r="H259" t="s">
        <v>15</v>
      </c>
      <c r="I259">
        <v>0</v>
      </c>
      <c r="J259" t="s">
        <v>16</v>
      </c>
      <c r="K259" t="s">
        <v>17</v>
      </c>
      <c r="L259">
        <v>36</v>
      </c>
      <c r="M259" t="str">
        <f t="shared" ref="M259:M322" si="4">IF(L259&gt;54,"Old",IF(L259&gt;=31,"Middle Age",IF(L259&lt;31,"Adolescent")))</f>
        <v>Middle Age</v>
      </c>
      <c r="N259" t="s">
        <v>15</v>
      </c>
    </row>
    <row r="260" spans="1:14" x14ac:dyDescent="0.3">
      <c r="A260">
        <v>14193</v>
      </c>
      <c r="B260" t="s">
        <v>39</v>
      </c>
      <c r="C260" t="s">
        <v>38</v>
      </c>
      <c r="D260" s="4">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37</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39</v>
      </c>
      <c r="C262" t="s">
        <v>38</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39</v>
      </c>
      <c r="C265" t="s">
        <v>38</v>
      </c>
      <c r="D265" s="4">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37</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39</v>
      </c>
      <c r="C267" t="s">
        <v>38</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39</v>
      </c>
      <c r="C268" t="s">
        <v>38</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39</v>
      </c>
      <c r="C269" t="s">
        <v>37</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37</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39</v>
      </c>
      <c r="C271" t="s">
        <v>38</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39</v>
      </c>
      <c r="C272" t="s">
        <v>38</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39</v>
      </c>
      <c r="C273" t="s">
        <v>38</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37</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39</v>
      </c>
      <c r="C275" t="s">
        <v>38</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37</v>
      </c>
      <c r="D280" s="4">
        <v>100000</v>
      </c>
      <c r="E280">
        <v>0</v>
      </c>
      <c r="F280" t="s">
        <v>27</v>
      </c>
      <c r="G280" t="s">
        <v>28</v>
      </c>
      <c r="H280" t="s">
        <v>15</v>
      </c>
      <c r="I280">
        <v>3</v>
      </c>
      <c r="J280" t="s">
        <v>47</v>
      </c>
      <c r="K280" t="s">
        <v>24</v>
      </c>
      <c r="L280">
        <v>35</v>
      </c>
      <c r="M280" t="str">
        <f t="shared" si="4"/>
        <v>Middle Age</v>
      </c>
      <c r="N280" t="s">
        <v>15</v>
      </c>
    </row>
    <row r="281" spans="1:14" x14ac:dyDescent="0.3">
      <c r="A281">
        <v>16390</v>
      </c>
      <c r="B281" t="s">
        <v>39</v>
      </c>
      <c r="C281" t="s">
        <v>37</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39</v>
      </c>
      <c r="C282" t="s">
        <v>38</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39</v>
      </c>
      <c r="C283" t="s">
        <v>37</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39</v>
      </c>
      <c r="C284" t="s">
        <v>37</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39</v>
      </c>
      <c r="C286" t="s">
        <v>37</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39</v>
      </c>
      <c r="C288" t="s">
        <v>38</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39</v>
      </c>
      <c r="C289" t="s">
        <v>38</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37</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37</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39</v>
      </c>
      <c r="C292" t="s">
        <v>38</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37</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39</v>
      </c>
      <c r="C295" t="s">
        <v>38</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39</v>
      </c>
      <c r="C296" t="s">
        <v>37</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39</v>
      </c>
      <c r="C297" t="s">
        <v>38</v>
      </c>
      <c r="D297" s="4">
        <v>110000</v>
      </c>
      <c r="E297">
        <v>0</v>
      </c>
      <c r="F297" t="s">
        <v>19</v>
      </c>
      <c r="G297" t="s">
        <v>28</v>
      </c>
      <c r="H297" t="s">
        <v>15</v>
      </c>
      <c r="I297">
        <v>3</v>
      </c>
      <c r="J297" t="s">
        <v>47</v>
      </c>
      <c r="K297" t="s">
        <v>24</v>
      </c>
      <c r="L297">
        <v>32</v>
      </c>
      <c r="M297" t="str">
        <f t="shared" si="4"/>
        <v>Middle Age</v>
      </c>
      <c r="N297" t="s">
        <v>15</v>
      </c>
    </row>
    <row r="298" spans="1:14" x14ac:dyDescent="0.3">
      <c r="A298">
        <v>26663</v>
      </c>
      <c r="B298" t="s">
        <v>39</v>
      </c>
      <c r="C298" t="s">
        <v>38</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37</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39</v>
      </c>
      <c r="C302" t="s">
        <v>38</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39</v>
      </c>
      <c r="C303" t="s">
        <v>38</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39</v>
      </c>
      <c r="C304" t="s">
        <v>37</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37</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39</v>
      </c>
      <c r="C307" t="s">
        <v>37</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37</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37</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37</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37</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37</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37</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39</v>
      </c>
      <c r="C315" t="s">
        <v>37</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37</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39</v>
      </c>
      <c r="C317" t="s">
        <v>37</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37</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37</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37</v>
      </c>
      <c r="D320" s="4">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37</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39</v>
      </c>
      <c r="C323" t="s">
        <v>38</v>
      </c>
      <c r="D323" s="4">
        <v>160000</v>
      </c>
      <c r="E323">
        <v>0</v>
      </c>
      <c r="F323" t="s">
        <v>31</v>
      </c>
      <c r="G323" t="s">
        <v>28</v>
      </c>
      <c r="H323" t="s">
        <v>18</v>
      </c>
      <c r="I323">
        <v>3</v>
      </c>
      <c r="J323" t="s">
        <v>16</v>
      </c>
      <c r="K323" t="s">
        <v>24</v>
      </c>
      <c r="L323">
        <v>47</v>
      </c>
      <c r="M323" t="str">
        <f t="shared" ref="M323:M386" si="5">IF(L323&gt;54,"Old",IF(L323&gt;=31,"Middle Age",IF(L323&lt;31,"Adolescent")))</f>
        <v>Middle Age</v>
      </c>
      <c r="N323" t="s">
        <v>15</v>
      </c>
    </row>
    <row r="324" spans="1:14" x14ac:dyDescent="0.3">
      <c r="A324">
        <v>16410</v>
      </c>
      <c r="B324" t="s">
        <v>39</v>
      </c>
      <c r="C324" t="s">
        <v>38</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39</v>
      </c>
      <c r="C325" t="s">
        <v>38</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37</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39</v>
      </c>
      <c r="C327" t="s">
        <v>37</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37</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39</v>
      </c>
      <c r="C330" t="s">
        <v>37</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4">
        <v>90000</v>
      </c>
      <c r="E331">
        <v>5</v>
      </c>
      <c r="F331" t="s">
        <v>29</v>
      </c>
      <c r="G331" t="s">
        <v>14</v>
      </c>
      <c r="H331" t="s">
        <v>15</v>
      </c>
      <c r="I331">
        <v>2</v>
      </c>
      <c r="J331" t="s">
        <v>47</v>
      </c>
      <c r="K331" t="s">
        <v>17</v>
      </c>
      <c r="L331">
        <v>59</v>
      </c>
      <c r="M331" t="str">
        <f t="shared" si="5"/>
        <v>Old</v>
      </c>
      <c r="N331" t="s">
        <v>18</v>
      </c>
    </row>
    <row r="332" spans="1:14" x14ac:dyDescent="0.3">
      <c r="A332">
        <v>24898</v>
      </c>
      <c r="B332" t="s">
        <v>39</v>
      </c>
      <c r="C332" t="s">
        <v>38</v>
      </c>
      <c r="D332" s="4">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37</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39</v>
      </c>
      <c r="C334" t="s">
        <v>38</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37</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37</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37</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39</v>
      </c>
      <c r="C338" t="s">
        <v>37</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37</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39</v>
      </c>
      <c r="C340" t="s">
        <v>38</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37</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39</v>
      </c>
      <c r="C342" t="s">
        <v>37</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39</v>
      </c>
      <c r="C343" t="s">
        <v>38</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39</v>
      </c>
      <c r="C344" t="s">
        <v>37</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39</v>
      </c>
      <c r="C345" t="s">
        <v>38</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39</v>
      </c>
      <c r="C346" t="s">
        <v>37</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37</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39</v>
      </c>
      <c r="C349" t="s">
        <v>38</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37</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39</v>
      </c>
      <c r="C351" t="s">
        <v>38</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39</v>
      </c>
      <c r="C352" t="s">
        <v>37</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39</v>
      </c>
      <c r="C353" t="s">
        <v>37</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39</v>
      </c>
      <c r="C355" t="s">
        <v>37</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39</v>
      </c>
      <c r="C356" t="s">
        <v>37</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39</v>
      </c>
      <c r="C357" t="s">
        <v>37</v>
      </c>
      <c r="D357" s="4">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39</v>
      </c>
      <c r="C359" t="s">
        <v>38</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37</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37</v>
      </c>
      <c r="D361" s="4">
        <v>80000</v>
      </c>
      <c r="E361">
        <v>0</v>
      </c>
      <c r="F361" t="s">
        <v>13</v>
      </c>
      <c r="G361" t="s">
        <v>21</v>
      </c>
      <c r="H361" t="s">
        <v>15</v>
      </c>
      <c r="I361">
        <v>3</v>
      </c>
      <c r="J361" t="s">
        <v>47</v>
      </c>
      <c r="K361" t="s">
        <v>24</v>
      </c>
      <c r="L361">
        <v>30</v>
      </c>
      <c r="M361" t="str">
        <f t="shared" si="5"/>
        <v>Adolescent</v>
      </c>
      <c r="N361" t="s">
        <v>18</v>
      </c>
    </row>
    <row r="362" spans="1:14" x14ac:dyDescent="0.3">
      <c r="A362">
        <v>13082</v>
      </c>
      <c r="B362" t="s">
        <v>39</v>
      </c>
      <c r="C362" t="s">
        <v>37</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39</v>
      </c>
      <c r="C363" t="s">
        <v>38</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37</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39</v>
      </c>
      <c r="C366" t="s">
        <v>38</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39</v>
      </c>
      <c r="C367" t="s">
        <v>38</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37</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39</v>
      </c>
      <c r="C370" t="s">
        <v>38</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39</v>
      </c>
      <c r="C371" t="s">
        <v>38</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4">
        <v>100000</v>
      </c>
      <c r="E372">
        <v>4</v>
      </c>
      <c r="F372" t="s">
        <v>13</v>
      </c>
      <c r="G372" t="s">
        <v>21</v>
      </c>
      <c r="H372" t="s">
        <v>15</v>
      </c>
      <c r="I372">
        <v>1</v>
      </c>
      <c r="J372" t="s">
        <v>47</v>
      </c>
      <c r="K372" t="s">
        <v>24</v>
      </c>
      <c r="L372">
        <v>46</v>
      </c>
      <c r="M372" t="str">
        <f t="shared" si="5"/>
        <v>Middle Age</v>
      </c>
      <c r="N372" t="s">
        <v>18</v>
      </c>
    </row>
    <row r="373" spans="1:14" x14ac:dyDescent="0.3">
      <c r="A373">
        <v>22918</v>
      </c>
      <c r="B373" t="s">
        <v>39</v>
      </c>
      <c r="C373" t="s">
        <v>37</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37</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39</v>
      </c>
      <c r="C375" t="s">
        <v>37</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39</v>
      </c>
      <c r="C376" t="s">
        <v>38</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37</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37</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37</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37</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39</v>
      </c>
      <c r="C382" t="s">
        <v>37</v>
      </c>
      <c r="D382" s="4">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37</v>
      </c>
      <c r="D384" s="4">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37</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39</v>
      </c>
      <c r="C386" t="s">
        <v>38</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39</v>
      </c>
      <c r="C387" t="s">
        <v>37</v>
      </c>
      <c r="D387" s="4">
        <v>30000</v>
      </c>
      <c r="E387">
        <v>3</v>
      </c>
      <c r="F387" t="s">
        <v>19</v>
      </c>
      <c r="G387" t="s">
        <v>20</v>
      </c>
      <c r="H387" t="s">
        <v>15</v>
      </c>
      <c r="I387">
        <v>0</v>
      </c>
      <c r="J387" t="s">
        <v>16</v>
      </c>
      <c r="K387" t="s">
        <v>17</v>
      </c>
      <c r="L387">
        <v>43</v>
      </c>
      <c r="M387" t="str">
        <f t="shared" ref="M387:M450" si="6">IF(L387&gt;54,"Old",IF(L387&gt;=31,"Middle Age",IF(L387&lt;31,"Adolescent")))</f>
        <v>Middle Age</v>
      </c>
      <c r="N387" t="s">
        <v>18</v>
      </c>
    </row>
    <row r="388" spans="1:14" x14ac:dyDescent="0.3">
      <c r="A388">
        <v>28957</v>
      </c>
      <c r="B388" t="s">
        <v>39</v>
      </c>
      <c r="C388" t="s">
        <v>38</v>
      </c>
      <c r="D388" s="4">
        <v>120000</v>
      </c>
      <c r="E388">
        <v>0</v>
      </c>
      <c r="F388" t="s">
        <v>29</v>
      </c>
      <c r="G388" t="s">
        <v>21</v>
      </c>
      <c r="H388" t="s">
        <v>15</v>
      </c>
      <c r="I388">
        <v>4</v>
      </c>
      <c r="J388" t="s">
        <v>47</v>
      </c>
      <c r="K388" t="s">
        <v>24</v>
      </c>
      <c r="L388">
        <v>34</v>
      </c>
      <c r="M388" t="str">
        <f t="shared" si="6"/>
        <v>Middle Age</v>
      </c>
      <c r="N388" t="s">
        <v>15</v>
      </c>
    </row>
    <row r="389" spans="1:14" x14ac:dyDescent="0.3">
      <c r="A389">
        <v>13690</v>
      </c>
      <c r="B389" t="s">
        <v>39</v>
      </c>
      <c r="C389" t="s">
        <v>38</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39</v>
      </c>
      <c r="C392" t="s">
        <v>37</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39</v>
      </c>
      <c r="C393" t="s">
        <v>38</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39</v>
      </c>
      <c r="C394" t="s">
        <v>37</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37</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39</v>
      </c>
      <c r="C398" t="s">
        <v>37</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39</v>
      </c>
      <c r="C400" t="s">
        <v>37</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39</v>
      </c>
      <c r="C401" t="s">
        <v>38</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39</v>
      </c>
      <c r="C402" t="s">
        <v>38</v>
      </c>
      <c r="D402" s="4">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37</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37</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37</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39</v>
      </c>
      <c r="C409" t="s">
        <v>38</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39</v>
      </c>
      <c r="C410" t="s">
        <v>38</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37</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39</v>
      </c>
      <c r="C414" t="s">
        <v>37</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39</v>
      </c>
      <c r="C415" t="s">
        <v>38</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39</v>
      </c>
      <c r="C418" t="s">
        <v>37</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39</v>
      </c>
      <c r="C419" t="s">
        <v>38</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37</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39</v>
      </c>
      <c r="C421" t="s">
        <v>37</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4">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37</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39</v>
      </c>
      <c r="C424" t="s">
        <v>37</v>
      </c>
      <c r="D424" s="4">
        <v>110000</v>
      </c>
      <c r="E424">
        <v>0</v>
      </c>
      <c r="F424" t="s">
        <v>19</v>
      </c>
      <c r="G424" t="s">
        <v>28</v>
      </c>
      <c r="H424" t="s">
        <v>18</v>
      </c>
      <c r="I424">
        <v>3</v>
      </c>
      <c r="J424" t="s">
        <v>47</v>
      </c>
      <c r="K424" t="s">
        <v>24</v>
      </c>
      <c r="L424">
        <v>32</v>
      </c>
      <c r="M424" t="str">
        <f t="shared" si="6"/>
        <v>Middle Age</v>
      </c>
      <c r="N424" t="s">
        <v>15</v>
      </c>
    </row>
    <row r="425" spans="1:14" x14ac:dyDescent="0.3">
      <c r="A425">
        <v>27169</v>
      </c>
      <c r="B425" t="s">
        <v>39</v>
      </c>
      <c r="C425" t="s">
        <v>37</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39</v>
      </c>
      <c r="C426" t="s">
        <v>38</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37</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39</v>
      </c>
      <c r="C428" t="s">
        <v>37</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39</v>
      </c>
      <c r="C429" t="s">
        <v>38</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37</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39</v>
      </c>
      <c r="C431" t="s">
        <v>38</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39</v>
      </c>
      <c r="C432" t="s">
        <v>38</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39</v>
      </c>
      <c r="C433" t="s">
        <v>37</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4">
        <v>110000</v>
      </c>
      <c r="E434">
        <v>0</v>
      </c>
      <c r="F434" t="s">
        <v>27</v>
      </c>
      <c r="G434" t="s">
        <v>28</v>
      </c>
      <c r="H434" t="s">
        <v>15</v>
      </c>
      <c r="I434">
        <v>3</v>
      </c>
      <c r="J434" t="s">
        <v>47</v>
      </c>
      <c r="K434" t="s">
        <v>24</v>
      </c>
      <c r="L434">
        <v>34</v>
      </c>
      <c r="M434" t="str">
        <f t="shared" si="6"/>
        <v>Middle Age</v>
      </c>
      <c r="N434" t="s">
        <v>15</v>
      </c>
    </row>
    <row r="435" spans="1:14" x14ac:dyDescent="0.3">
      <c r="A435">
        <v>27814</v>
      </c>
      <c r="B435" t="s">
        <v>39</v>
      </c>
      <c r="C435" t="s">
        <v>38</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39</v>
      </c>
      <c r="C437" t="s">
        <v>38</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39</v>
      </c>
      <c r="C439" t="s">
        <v>38</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39</v>
      </c>
      <c r="C440" t="s">
        <v>38</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37</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39</v>
      </c>
      <c r="C442" t="s">
        <v>37</v>
      </c>
      <c r="D442" s="4">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37</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39</v>
      </c>
      <c r="C444" t="s">
        <v>37</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39</v>
      </c>
      <c r="C446" t="s">
        <v>37</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4">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Age",IF(L451&lt;31,"Adolescent")))</f>
        <v>Middle Age</v>
      </c>
      <c r="N451" t="s">
        <v>18</v>
      </c>
    </row>
    <row r="452" spans="1:14" x14ac:dyDescent="0.3">
      <c r="A452">
        <v>16559</v>
      </c>
      <c r="B452" t="s">
        <v>39</v>
      </c>
      <c r="C452" t="s">
        <v>38</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39</v>
      </c>
      <c r="C455" t="s">
        <v>38</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39</v>
      </c>
      <c r="C456" t="s">
        <v>37</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39</v>
      </c>
      <c r="C458" t="s">
        <v>37</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37</v>
      </c>
      <c r="D460" s="4">
        <v>120000</v>
      </c>
      <c r="E460">
        <v>0</v>
      </c>
      <c r="F460" t="s">
        <v>29</v>
      </c>
      <c r="G460" t="s">
        <v>21</v>
      </c>
      <c r="H460" t="s">
        <v>15</v>
      </c>
      <c r="I460">
        <v>4</v>
      </c>
      <c r="J460" t="s">
        <v>47</v>
      </c>
      <c r="K460" t="s">
        <v>24</v>
      </c>
      <c r="L460">
        <v>32</v>
      </c>
      <c r="M460" t="str">
        <f t="shared" si="7"/>
        <v>Middle Age</v>
      </c>
      <c r="N460" t="s">
        <v>15</v>
      </c>
    </row>
    <row r="461" spans="1:14" x14ac:dyDescent="0.3">
      <c r="A461">
        <v>21554</v>
      </c>
      <c r="B461" t="s">
        <v>39</v>
      </c>
      <c r="C461" t="s">
        <v>38</v>
      </c>
      <c r="D461" s="4">
        <v>80000</v>
      </c>
      <c r="E461">
        <v>0</v>
      </c>
      <c r="F461" t="s">
        <v>13</v>
      </c>
      <c r="G461" t="s">
        <v>21</v>
      </c>
      <c r="H461" t="s">
        <v>18</v>
      </c>
      <c r="I461">
        <v>3</v>
      </c>
      <c r="J461" t="s">
        <v>47</v>
      </c>
      <c r="K461" t="s">
        <v>24</v>
      </c>
      <c r="L461">
        <v>33</v>
      </c>
      <c r="M461" t="str">
        <f t="shared" si="7"/>
        <v>Middle Age</v>
      </c>
      <c r="N461" t="s">
        <v>18</v>
      </c>
    </row>
    <row r="462" spans="1:14" x14ac:dyDescent="0.3">
      <c r="A462">
        <v>13662</v>
      </c>
      <c r="B462" t="s">
        <v>39</v>
      </c>
      <c r="C462" t="s">
        <v>37</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39</v>
      </c>
      <c r="C465" t="s">
        <v>37</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39</v>
      </c>
      <c r="C466" t="s">
        <v>38</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37</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39</v>
      </c>
      <c r="C468" t="s">
        <v>38</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39</v>
      </c>
      <c r="C469" t="s">
        <v>37</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39</v>
      </c>
      <c r="C472" t="s">
        <v>37</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39</v>
      </c>
      <c r="C473" t="s">
        <v>37</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39</v>
      </c>
      <c r="C474" t="s">
        <v>38</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37</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39</v>
      </c>
      <c r="C478" t="s">
        <v>38</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37</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37</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37</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39</v>
      </c>
      <c r="C483" t="s">
        <v>38</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39</v>
      </c>
      <c r="C484" t="s">
        <v>37</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37</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39</v>
      </c>
      <c r="C486" t="s">
        <v>38</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39</v>
      </c>
      <c r="C487" t="s">
        <v>37</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4">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37</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39</v>
      </c>
      <c r="C490" t="s">
        <v>38</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37</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37</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37</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39</v>
      </c>
      <c r="C494" t="s">
        <v>38</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39</v>
      </c>
      <c r="C495" t="s">
        <v>37</v>
      </c>
      <c r="D495" s="4">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37</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37</v>
      </c>
      <c r="D497" s="4">
        <v>60000</v>
      </c>
      <c r="E497">
        <v>2</v>
      </c>
      <c r="F497" t="s">
        <v>19</v>
      </c>
      <c r="G497" t="s">
        <v>21</v>
      </c>
      <c r="H497" t="s">
        <v>15</v>
      </c>
      <c r="I497">
        <v>2</v>
      </c>
      <c r="J497" t="s">
        <v>47</v>
      </c>
      <c r="K497" t="s">
        <v>32</v>
      </c>
      <c r="L497">
        <v>56</v>
      </c>
      <c r="M497" t="str">
        <f t="shared" si="7"/>
        <v>Old</v>
      </c>
      <c r="N497" t="s">
        <v>18</v>
      </c>
    </row>
    <row r="498" spans="1:14" x14ac:dyDescent="0.3">
      <c r="A498">
        <v>20678</v>
      </c>
      <c r="B498" t="s">
        <v>39</v>
      </c>
      <c r="C498" t="s">
        <v>38</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39</v>
      </c>
      <c r="C499" t="s">
        <v>38</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37</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39</v>
      </c>
      <c r="C501" t="s">
        <v>38</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37</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37</v>
      </c>
      <c r="D504" s="4">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37</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37</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37</v>
      </c>
      <c r="D510" s="4">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37</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39</v>
      </c>
      <c r="C512" t="s">
        <v>37</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39</v>
      </c>
      <c r="C513" t="s">
        <v>37</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39</v>
      </c>
      <c r="C515" t="s">
        <v>38</v>
      </c>
      <c r="D515" s="4">
        <v>60000</v>
      </c>
      <c r="E515">
        <v>4</v>
      </c>
      <c r="F515" t="s">
        <v>31</v>
      </c>
      <c r="G515" t="s">
        <v>28</v>
      </c>
      <c r="H515" t="s">
        <v>15</v>
      </c>
      <c r="I515">
        <v>2</v>
      </c>
      <c r="J515" t="s">
        <v>47</v>
      </c>
      <c r="K515" t="s">
        <v>32</v>
      </c>
      <c r="L515">
        <v>61</v>
      </c>
      <c r="M515" t="str">
        <f t="shared" ref="M515:M578" si="8">IF(L515&gt;54,"Old",IF(L515&gt;=31,"Middle Age",IF(L515&lt;31,"Adolescent")))</f>
        <v>Old</v>
      </c>
      <c r="N515" t="s">
        <v>15</v>
      </c>
    </row>
    <row r="516" spans="1:14" x14ac:dyDescent="0.3">
      <c r="A516">
        <v>19399</v>
      </c>
      <c r="B516" t="s">
        <v>39</v>
      </c>
      <c r="C516" t="s">
        <v>37</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39</v>
      </c>
      <c r="C519" t="s">
        <v>37</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37</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39</v>
      </c>
      <c r="C522" t="s">
        <v>37</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39</v>
      </c>
      <c r="C523" t="s">
        <v>37</v>
      </c>
      <c r="D523" s="4">
        <v>40000</v>
      </c>
      <c r="E523">
        <v>4</v>
      </c>
      <c r="F523" t="s">
        <v>27</v>
      </c>
      <c r="G523" t="s">
        <v>21</v>
      </c>
      <c r="H523" t="s">
        <v>15</v>
      </c>
      <c r="I523">
        <v>2</v>
      </c>
      <c r="J523" t="s">
        <v>47</v>
      </c>
      <c r="K523" t="s">
        <v>32</v>
      </c>
      <c r="L523">
        <v>62</v>
      </c>
      <c r="M523" t="str">
        <f t="shared" si="8"/>
        <v>Old</v>
      </c>
      <c r="N523" t="s">
        <v>15</v>
      </c>
    </row>
    <row r="524" spans="1:14" x14ac:dyDescent="0.3">
      <c r="A524">
        <v>19413</v>
      </c>
      <c r="B524" t="s">
        <v>39</v>
      </c>
      <c r="C524" t="s">
        <v>37</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37</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39</v>
      </c>
      <c r="C526" t="s">
        <v>38</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39</v>
      </c>
      <c r="C527" t="s">
        <v>37</v>
      </c>
      <c r="D527" s="4">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37</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39</v>
      </c>
      <c r="C530" t="s">
        <v>38</v>
      </c>
      <c r="D530" s="4">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37</v>
      </c>
      <c r="D531" s="4">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37</v>
      </c>
      <c r="D532" s="4">
        <v>60000</v>
      </c>
      <c r="E532">
        <v>0</v>
      </c>
      <c r="F532" t="s">
        <v>19</v>
      </c>
      <c r="G532" t="s">
        <v>14</v>
      </c>
      <c r="H532" t="s">
        <v>15</v>
      </c>
      <c r="I532">
        <v>1</v>
      </c>
      <c r="J532" t="s">
        <v>23</v>
      </c>
      <c r="K532" t="s">
        <v>32</v>
      </c>
      <c r="L532">
        <v>27</v>
      </c>
      <c r="M532" t="str">
        <f t="shared" si="8"/>
        <v>Adolescent</v>
      </c>
      <c r="N532" t="s">
        <v>15</v>
      </c>
    </row>
    <row r="533" spans="1:14" x14ac:dyDescent="0.3">
      <c r="A533">
        <v>14092</v>
      </c>
      <c r="B533" t="s">
        <v>39</v>
      </c>
      <c r="C533" t="s">
        <v>37</v>
      </c>
      <c r="D533" s="4">
        <v>30000</v>
      </c>
      <c r="E533">
        <v>0</v>
      </c>
      <c r="F533" t="s">
        <v>29</v>
      </c>
      <c r="G533" t="s">
        <v>20</v>
      </c>
      <c r="H533" t="s">
        <v>15</v>
      </c>
      <c r="I533">
        <v>2</v>
      </c>
      <c r="J533" t="s">
        <v>23</v>
      </c>
      <c r="K533" t="s">
        <v>32</v>
      </c>
      <c r="L533">
        <v>28</v>
      </c>
      <c r="M533" t="str">
        <f t="shared" si="8"/>
        <v>Adolescent</v>
      </c>
      <c r="N533" t="s">
        <v>18</v>
      </c>
    </row>
    <row r="534" spans="1:14" x14ac:dyDescent="0.3">
      <c r="A534">
        <v>29143</v>
      </c>
      <c r="B534" t="s">
        <v>39</v>
      </c>
      <c r="C534" t="s">
        <v>38</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37</v>
      </c>
      <c r="D535" s="4">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37</v>
      </c>
      <c r="D536" s="4">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37</v>
      </c>
      <c r="D537" s="4">
        <v>50000</v>
      </c>
      <c r="E537">
        <v>3</v>
      </c>
      <c r="F537" t="s">
        <v>13</v>
      </c>
      <c r="G537" t="s">
        <v>14</v>
      </c>
      <c r="H537" t="s">
        <v>15</v>
      </c>
      <c r="I537">
        <v>3</v>
      </c>
      <c r="J537" t="s">
        <v>47</v>
      </c>
      <c r="K537" t="s">
        <v>32</v>
      </c>
      <c r="L537">
        <v>41</v>
      </c>
      <c r="M537" t="str">
        <f t="shared" si="8"/>
        <v>Middle Age</v>
      </c>
      <c r="N537" t="s">
        <v>18</v>
      </c>
    </row>
    <row r="538" spans="1:14" x14ac:dyDescent="0.3">
      <c r="A538">
        <v>13907</v>
      </c>
      <c r="B538" t="s">
        <v>39</v>
      </c>
      <c r="C538" t="s">
        <v>38</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39</v>
      </c>
      <c r="C541" t="s">
        <v>38</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39</v>
      </c>
      <c r="C542" t="s">
        <v>38</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37</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37</v>
      </c>
      <c r="D544" s="4">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39</v>
      </c>
      <c r="C546" t="s">
        <v>37</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39</v>
      </c>
      <c r="C547" t="s">
        <v>37</v>
      </c>
      <c r="D547" s="4">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37</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37</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39</v>
      </c>
      <c r="C550" t="s">
        <v>38</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39</v>
      </c>
      <c r="C552" t="s">
        <v>38</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4">
        <v>50000</v>
      </c>
      <c r="E553">
        <v>4</v>
      </c>
      <c r="F553" t="s">
        <v>13</v>
      </c>
      <c r="G553" t="s">
        <v>28</v>
      </c>
      <c r="H553" t="s">
        <v>15</v>
      </c>
      <c r="I553">
        <v>2</v>
      </c>
      <c r="J553" t="s">
        <v>47</v>
      </c>
      <c r="K553" t="s">
        <v>32</v>
      </c>
      <c r="L553">
        <v>63</v>
      </c>
      <c r="M553" t="str">
        <f t="shared" si="8"/>
        <v>Old</v>
      </c>
      <c r="N553" t="s">
        <v>18</v>
      </c>
    </row>
    <row r="554" spans="1:14" x14ac:dyDescent="0.3">
      <c r="A554">
        <v>14417</v>
      </c>
      <c r="B554" t="s">
        <v>39</v>
      </c>
      <c r="C554" t="s">
        <v>37</v>
      </c>
      <c r="D554" s="4">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37</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39</v>
      </c>
      <c r="C557" t="s">
        <v>37</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37</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39</v>
      </c>
      <c r="C561" t="s">
        <v>38</v>
      </c>
      <c r="D561" s="4">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39</v>
      </c>
      <c r="C565" t="s">
        <v>38</v>
      </c>
      <c r="D565" s="4">
        <v>30000</v>
      </c>
      <c r="E565">
        <v>0</v>
      </c>
      <c r="F565" t="s">
        <v>19</v>
      </c>
      <c r="G565" t="s">
        <v>14</v>
      </c>
      <c r="H565" t="s">
        <v>15</v>
      </c>
      <c r="I565">
        <v>1</v>
      </c>
      <c r="J565" t="s">
        <v>23</v>
      </c>
      <c r="K565" t="s">
        <v>32</v>
      </c>
      <c r="L565">
        <v>28</v>
      </c>
      <c r="M565" t="str">
        <f t="shared" si="8"/>
        <v>Adolescent</v>
      </c>
      <c r="N565" t="s">
        <v>18</v>
      </c>
    </row>
    <row r="566" spans="1:14" x14ac:dyDescent="0.3">
      <c r="A566">
        <v>17369</v>
      </c>
      <c r="B566" t="s">
        <v>39</v>
      </c>
      <c r="C566" t="s">
        <v>37</v>
      </c>
      <c r="D566" s="4">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37</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37</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37</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39</v>
      </c>
      <c r="C571" t="s">
        <v>37</v>
      </c>
      <c r="D571" s="4">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37</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37</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39</v>
      </c>
      <c r="C574" t="s">
        <v>37</v>
      </c>
      <c r="D574" s="4">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37</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39</v>
      </c>
      <c r="C576" t="s">
        <v>38</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39</v>
      </c>
      <c r="C577" t="s">
        <v>37</v>
      </c>
      <c r="D577" s="4">
        <v>60000</v>
      </c>
      <c r="E577">
        <v>2</v>
      </c>
      <c r="F577" t="s">
        <v>19</v>
      </c>
      <c r="G577" t="s">
        <v>21</v>
      </c>
      <c r="H577" t="s">
        <v>15</v>
      </c>
      <c r="I577">
        <v>1</v>
      </c>
      <c r="J577" t="s">
        <v>47</v>
      </c>
      <c r="K577" t="s">
        <v>32</v>
      </c>
      <c r="L577">
        <v>56</v>
      </c>
      <c r="M577" t="str">
        <f t="shared" si="8"/>
        <v>Old</v>
      </c>
      <c r="N577" t="s">
        <v>18</v>
      </c>
    </row>
    <row r="578" spans="1:14" x14ac:dyDescent="0.3">
      <c r="A578">
        <v>18752</v>
      </c>
      <c r="B578" t="s">
        <v>39</v>
      </c>
      <c r="C578" t="s">
        <v>38</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37</v>
      </c>
      <c r="D579" s="4">
        <v>120000</v>
      </c>
      <c r="E579">
        <v>1</v>
      </c>
      <c r="F579" t="s">
        <v>13</v>
      </c>
      <c r="G579" t="s">
        <v>28</v>
      </c>
      <c r="H579" t="s">
        <v>15</v>
      </c>
      <c r="I579">
        <v>4</v>
      </c>
      <c r="J579" t="s">
        <v>16</v>
      </c>
      <c r="K579" t="s">
        <v>32</v>
      </c>
      <c r="L579">
        <v>38</v>
      </c>
      <c r="M579" t="str">
        <f t="shared" ref="M579:M642" si="9">IF(L579&gt;54,"Old",IF(L579&gt;=31,"Middle Age",IF(L579&lt;31,"Adolescent")))</f>
        <v>Middle Age</v>
      </c>
      <c r="N579" t="s">
        <v>18</v>
      </c>
    </row>
    <row r="580" spans="1:14" x14ac:dyDescent="0.3">
      <c r="A580">
        <v>15313</v>
      </c>
      <c r="B580" t="s">
        <v>36</v>
      </c>
      <c r="C580" t="s">
        <v>37</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39</v>
      </c>
      <c r="C581" t="s">
        <v>38</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4">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37</v>
      </c>
      <c r="D583" s="4">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37</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37</v>
      </c>
      <c r="D585" s="4">
        <v>60000</v>
      </c>
      <c r="E585">
        <v>3</v>
      </c>
      <c r="F585" t="s">
        <v>13</v>
      </c>
      <c r="G585" t="s">
        <v>28</v>
      </c>
      <c r="H585" t="s">
        <v>15</v>
      </c>
      <c r="I585">
        <v>2</v>
      </c>
      <c r="J585" t="s">
        <v>47</v>
      </c>
      <c r="K585" t="s">
        <v>32</v>
      </c>
      <c r="L585">
        <v>66</v>
      </c>
      <c r="M585" t="str">
        <f t="shared" si="9"/>
        <v>Old</v>
      </c>
      <c r="N585" t="s">
        <v>18</v>
      </c>
    </row>
    <row r="586" spans="1:14" x14ac:dyDescent="0.3">
      <c r="A586">
        <v>28667</v>
      </c>
      <c r="B586" t="s">
        <v>39</v>
      </c>
      <c r="C586" t="s">
        <v>37</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39</v>
      </c>
      <c r="C587" t="s">
        <v>37</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37</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4">
        <v>90000</v>
      </c>
      <c r="E590">
        <v>2</v>
      </c>
      <c r="F590" t="s">
        <v>27</v>
      </c>
      <c r="G590" t="s">
        <v>21</v>
      </c>
      <c r="H590" t="s">
        <v>15</v>
      </c>
      <c r="I590">
        <v>1</v>
      </c>
      <c r="J590" t="s">
        <v>47</v>
      </c>
      <c r="K590" t="s">
        <v>32</v>
      </c>
      <c r="L590">
        <v>51</v>
      </c>
      <c r="M590" t="str">
        <f t="shared" si="9"/>
        <v>Middle Age</v>
      </c>
      <c r="N590" t="s">
        <v>15</v>
      </c>
    </row>
    <row r="591" spans="1:14" x14ac:dyDescent="0.3">
      <c r="A591">
        <v>12100</v>
      </c>
      <c r="B591" t="s">
        <v>39</v>
      </c>
      <c r="C591" t="s">
        <v>37</v>
      </c>
      <c r="D591" s="4">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37</v>
      </c>
      <c r="D593" s="4">
        <v>40000</v>
      </c>
      <c r="E593">
        <v>4</v>
      </c>
      <c r="F593" t="s">
        <v>27</v>
      </c>
      <c r="G593" t="s">
        <v>21</v>
      </c>
      <c r="H593" t="s">
        <v>18</v>
      </c>
      <c r="I593">
        <v>2</v>
      </c>
      <c r="J593" t="s">
        <v>47</v>
      </c>
      <c r="K593" t="s">
        <v>32</v>
      </c>
      <c r="L593">
        <v>61</v>
      </c>
      <c r="M593" t="str">
        <f t="shared" si="9"/>
        <v>Old</v>
      </c>
      <c r="N593" t="s">
        <v>15</v>
      </c>
    </row>
    <row r="594" spans="1:14" x14ac:dyDescent="0.3">
      <c r="A594">
        <v>18391</v>
      </c>
      <c r="B594" t="s">
        <v>39</v>
      </c>
      <c r="C594" t="s">
        <v>38</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39</v>
      </c>
      <c r="C595" t="s">
        <v>38</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37</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39</v>
      </c>
      <c r="C597" t="s">
        <v>38</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39</v>
      </c>
      <c r="C599" t="s">
        <v>37</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37</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37</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39</v>
      </c>
      <c r="C603" t="s">
        <v>37</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39</v>
      </c>
      <c r="C604" t="s">
        <v>37</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37</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37</v>
      </c>
      <c r="D606" s="4">
        <v>40000</v>
      </c>
      <c r="E606">
        <v>0</v>
      </c>
      <c r="F606" t="s">
        <v>27</v>
      </c>
      <c r="G606" t="s">
        <v>14</v>
      </c>
      <c r="H606" t="s">
        <v>15</v>
      </c>
      <c r="I606">
        <v>2</v>
      </c>
      <c r="J606" t="s">
        <v>23</v>
      </c>
      <c r="K606" t="s">
        <v>32</v>
      </c>
      <c r="L606">
        <v>27</v>
      </c>
      <c r="M606" t="str">
        <f t="shared" si="9"/>
        <v>Adolescent</v>
      </c>
      <c r="N606" t="s">
        <v>18</v>
      </c>
    </row>
    <row r="607" spans="1:14" x14ac:dyDescent="0.3">
      <c r="A607">
        <v>17458</v>
      </c>
      <c r="B607" t="s">
        <v>39</v>
      </c>
      <c r="C607" t="s">
        <v>37</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39</v>
      </c>
      <c r="C608" t="s">
        <v>37</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39</v>
      </c>
      <c r="C609" t="s">
        <v>38</v>
      </c>
      <c r="D609" s="4">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37</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37</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37</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39</v>
      </c>
      <c r="C614" t="s">
        <v>38</v>
      </c>
      <c r="D614" s="4">
        <v>30000</v>
      </c>
      <c r="E614">
        <v>0</v>
      </c>
      <c r="F614" t="s">
        <v>29</v>
      </c>
      <c r="G614" t="s">
        <v>20</v>
      </c>
      <c r="H614" t="s">
        <v>15</v>
      </c>
      <c r="I614">
        <v>2</v>
      </c>
      <c r="J614" t="s">
        <v>23</v>
      </c>
      <c r="K614" t="s">
        <v>32</v>
      </c>
      <c r="L614">
        <v>27</v>
      </c>
      <c r="M614" t="str">
        <f t="shared" si="9"/>
        <v>Adolescent</v>
      </c>
      <c r="N614" t="s">
        <v>18</v>
      </c>
    </row>
    <row r="615" spans="1:14" x14ac:dyDescent="0.3">
      <c r="A615">
        <v>25184</v>
      </c>
      <c r="B615" t="s">
        <v>39</v>
      </c>
      <c r="C615" t="s">
        <v>37</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39</v>
      </c>
      <c r="C617" t="s">
        <v>38</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39</v>
      </c>
      <c r="C618" t="s">
        <v>38</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37</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39</v>
      </c>
      <c r="C620" t="s">
        <v>38</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39</v>
      </c>
      <c r="C621" t="s">
        <v>38</v>
      </c>
      <c r="D621" s="4">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37</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37</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39</v>
      </c>
      <c r="C626" t="s">
        <v>38</v>
      </c>
      <c r="D626" s="4">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37</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39</v>
      </c>
      <c r="C630" t="s">
        <v>37</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37</v>
      </c>
      <c r="D632" s="4">
        <v>40000</v>
      </c>
      <c r="E632">
        <v>0</v>
      </c>
      <c r="F632" t="s">
        <v>27</v>
      </c>
      <c r="G632" t="s">
        <v>14</v>
      </c>
      <c r="H632" t="s">
        <v>18</v>
      </c>
      <c r="I632">
        <v>2</v>
      </c>
      <c r="J632" t="s">
        <v>26</v>
      </c>
      <c r="K632" t="s">
        <v>32</v>
      </c>
      <c r="L632">
        <v>30</v>
      </c>
      <c r="M632" t="str">
        <f t="shared" si="9"/>
        <v>Adolescent</v>
      </c>
      <c r="N632" t="s">
        <v>18</v>
      </c>
    </row>
    <row r="633" spans="1:14" x14ac:dyDescent="0.3">
      <c r="A633">
        <v>27643</v>
      </c>
      <c r="B633" t="s">
        <v>39</v>
      </c>
      <c r="C633" t="s">
        <v>37</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39</v>
      </c>
      <c r="C634" t="s">
        <v>38</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37</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39</v>
      </c>
      <c r="C637" t="s">
        <v>38</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39</v>
      </c>
      <c r="C638" t="s">
        <v>38</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39</v>
      </c>
      <c r="C639" t="s">
        <v>37</v>
      </c>
      <c r="D639" s="4">
        <v>40000</v>
      </c>
      <c r="E639">
        <v>0</v>
      </c>
      <c r="F639" t="s">
        <v>27</v>
      </c>
      <c r="G639" t="s">
        <v>14</v>
      </c>
      <c r="H639" t="s">
        <v>18</v>
      </c>
      <c r="I639">
        <v>2</v>
      </c>
      <c r="J639" t="s">
        <v>26</v>
      </c>
      <c r="K639" t="s">
        <v>32</v>
      </c>
      <c r="L639">
        <v>30</v>
      </c>
      <c r="M639" t="str">
        <f t="shared" si="9"/>
        <v>Adolescent</v>
      </c>
      <c r="N639" t="s">
        <v>18</v>
      </c>
    </row>
    <row r="640" spans="1:14" x14ac:dyDescent="0.3">
      <c r="A640">
        <v>18949</v>
      </c>
      <c r="B640" t="s">
        <v>39</v>
      </c>
      <c r="C640" t="s">
        <v>37</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37</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37</v>
      </c>
      <c r="D643" s="4">
        <v>50000</v>
      </c>
      <c r="E643">
        <v>4</v>
      </c>
      <c r="F643" t="s">
        <v>13</v>
      </c>
      <c r="G643" t="s">
        <v>28</v>
      </c>
      <c r="H643" t="s">
        <v>15</v>
      </c>
      <c r="I643">
        <v>2</v>
      </c>
      <c r="J643" t="s">
        <v>47</v>
      </c>
      <c r="K643" t="s">
        <v>32</v>
      </c>
      <c r="L643">
        <v>64</v>
      </c>
      <c r="M643" t="str">
        <f t="shared" ref="M643:M706" si="10">IF(L643&gt;54,"Old",IF(L643&gt;=31,"Middle Age",IF(L643&lt;31,"Adolescent")))</f>
        <v>Old</v>
      </c>
      <c r="N643" t="s">
        <v>18</v>
      </c>
    </row>
    <row r="644" spans="1:14" x14ac:dyDescent="0.3">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4">
        <v>60000</v>
      </c>
      <c r="E646">
        <v>5</v>
      </c>
      <c r="F646" t="s">
        <v>13</v>
      </c>
      <c r="G646" t="s">
        <v>14</v>
      </c>
      <c r="H646" t="s">
        <v>15</v>
      </c>
      <c r="I646">
        <v>3</v>
      </c>
      <c r="J646" t="s">
        <v>47</v>
      </c>
      <c r="K646" t="s">
        <v>32</v>
      </c>
      <c r="L646">
        <v>41</v>
      </c>
      <c r="M646" t="str">
        <f t="shared" si="10"/>
        <v>Middle Age</v>
      </c>
      <c r="N646" t="s">
        <v>18</v>
      </c>
    </row>
    <row r="647" spans="1:14" x14ac:dyDescent="0.3">
      <c r="A647">
        <v>16217</v>
      </c>
      <c r="B647" t="s">
        <v>39</v>
      </c>
      <c r="C647" t="s">
        <v>38</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39</v>
      </c>
      <c r="C648" t="s">
        <v>38</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39</v>
      </c>
      <c r="C649" t="s">
        <v>37</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39</v>
      </c>
      <c r="C650" t="s">
        <v>38</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39</v>
      </c>
      <c r="C651" t="s">
        <v>38</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39</v>
      </c>
      <c r="C652" t="s">
        <v>38</v>
      </c>
      <c r="D652" s="4">
        <v>70000</v>
      </c>
      <c r="E652">
        <v>5</v>
      </c>
      <c r="F652" t="s">
        <v>31</v>
      </c>
      <c r="G652" t="s">
        <v>28</v>
      </c>
      <c r="H652" t="s">
        <v>15</v>
      </c>
      <c r="I652">
        <v>2</v>
      </c>
      <c r="J652" t="s">
        <v>47</v>
      </c>
      <c r="K652" t="s">
        <v>32</v>
      </c>
      <c r="L652">
        <v>67</v>
      </c>
      <c r="M652" t="str">
        <f t="shared" si="10"/>
        <v>Old</v>
      </c>
      <c r="N652" t="s">
        <v>15</v>
      </c>
    </row>
    <row r="653" spans="1:14" x14ac:dyDescent="0.3">
      <c r="A653">
        <v>14284</v>
      </c>
      <c r="B653" t="s">
        <v>39</v>
      </c>
      <c r="C653" t="s">
        <v>37</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37</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39</v>
      </c>
      <c r="C655" t="s">
        <v>37</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39</v>
      </c>
      <c r="C656" t="s">
        <v>37</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37</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37</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39</v>
      </c>
      <c r="C660" t="s">
        <v>37</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39</v>
      </c>
      <c r="C661" t="s">
        <v>38</v>
      </c>
      <c r="D661" s="4">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39</v>
      </c>
      <c r="C663" t="s">
        <v>37</v>
      </c>
      <c r="D663" s="4">
        <v>40000</v>
      </c>
      <c r="E663">
        <v>0</v>
      </c>
      <c r="F663" t="s">
        <v>27</v>
      </c>
      <c r="G663" t="s">
        <v>14</v>
      </c>
      <c r="H663" t="s">
        <v>18</v>
      </c>
      <c r="I663">
        <v>2</v>
      </c>
      <c r="J663" t="s">
        <v>16</v>
      </c>
      <c r="K663" t="s">
        <v>32</v>
      </c>
      <c r="L663">
        <v>28</v>
      </c>
      <c r="M663" t="str">
        <f t="shared" si="10"/>
        <v>Adolescent</v>
      </c>
      <c r="N663" t="s">
        <v>15</v>
      </c>
    </row>
    <row r="664" spans="1:14" x14ac:dyDescent="0.3">
      <c r="A664">
        <v>27637</v>
      </c>
      <c r="B664" t="s">
        <v>39</v>
      </c>
      <c r="C664" t="s">
        <v>38</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37</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4">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37</v>
      </c>
      <c r="D672" s="4">
        <v>70000</v>
      </c>
      <c r="E672">
        <v>2</v>
      </c>
      <c r="F672" t="s">
        <v>19</v>
      </c>
      <c r="G672" t="s">
        <v>21</v>
      </c>
      <c r="H672" t="s">
        <v>15</v>
      </c>
      <c r="I672">
        <v>1</v>
      </c>
      <c r="J672" t="s">
        <v>47</v>
      </c>
      <c r="K672" t="s">
        <v>32</v>
      </c>
      <c r="L672">
        <v>59</v>
      </c>
      <c r="M672" t="str">
        <f t="shared" si="10"/>
        <v>Old</v>
      </c>
      <c r="N672" t="s">
        <v>18</v>
      </c>
    </row>
    <row r="673" spans="1:14" x14ac:dyDescent="0.3">
      <c r="A673">
        <v>22252</v>
      </c>
      <c r="B673" t="s">
        <v>39</v>
      </c>
      <c r="C673" t="s">
        <v>38</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39</v>
      </c>
      <c r="C674" t="s">
        <v>38</v>
      </c>
      <c r="D674" s="4">
        <v>40000</v>
      </c>
      <c r="E674">
        <v>0</v>
      </c>
      <c r="F674" t="s">
        <v>27</v>
      </c>
      <c r="G674" t="s">
        <v>14</v>
      </c>
      <c r="H674" t="s">
        <v>15</v>
      </c>
      <c r="I674">
        <v>2</v>
      </c>
      <c r="J674" t="s">
        <v>23</v>
      </c>
      <c r="K674" t="s">
        <v>32</v>
      </c>
      <c r="L674">
        <v>30</v>
      </c>
      <c r="M674" t="str">
        <f t="shared" si="10"/>
        <v>Adolescent</v>
      </c>
      <c r="N674" t="s">
        <v>18</v>
      </c>
    </row>
    <row r="675" spans="1:14" x14ac:dyDescent="0.3">
      <c r="A675">
        <v>11817</v>
      </c>
      <c r="B675" t="s">
        <v>39</v>
      </c>
      <c r="C675" t="s">
        <v>38</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37</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37</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37</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37</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37</v>
      </c>
      <c r="D681" s="4">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39</v>
      </c>
      <c r="C683" t="s">
        <v>38</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37</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39</v>
      </c>
      <c r="C686" t="s">
        <v>38</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39</v>
      </c>
      <c r="C687" t="s">
        <v>38</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39</v>
      </c>
      <c r="C689" t="s">
        <v>37</v>
      </c>
      <c r="D689" s="4">
        <v>30000</v>
      </c>
      <c r="E689">
        <v>0</v>
      </c>
      <c r="F689" t="s">
        <v>19</v>
      </c>
      <c r="G689" t="s">
        <v>14</v>
      </c>
      <c r="H689" t="s">
        <v>15</v>
      </c>
      <c r="I689">
        <v>2</v>
      </c>
      <c r="J689" t="s">
        <v>23</v>
      </c>
      <c r="K689" t="s">
        <v>32</v>
      </c>
      <c r="L689">
        <v>30</v>
      </c>
      <c r="M689" t="str">
        <f t="shared" si="10"/>
        <v>Adolescent</v>
      </c>
      <c r="N689" t="s">
        <v>18</v>
      </c>
    </row>
    <row r="690" spans="1:14" x14ac:dyDescent="0.3">
      <c r="A690">
        <v>11699</v>
      </c>
      <c r="B690" t="s">
        <v>39</v>
      </c>
      <c r="C690" t="s">
        <v>37</v>
      </c>
      <c r="D690" s="4">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37</v>
      </c>
      <c r="D691" s="4">
        <v>30000</v>
      </c>
      <c r="E691">
        <v>0</v>
      </c>
      <c r="F691" t="s">
        <v>27</v>
      </c>
      <c r="G691" t="s">
        <v>14</v>
      </c>
      <c r="H691" t="s">
        <v>15</v>
      </c>
      <c r="I691">
        <v>2</v>
      </c>
      <c r="J691" t="s">
        <v>23</v>
      </c>
      <c r="K691" t="s">
        <v>32</v>
      </c>
      <c r="L691">
        <v>26</v>
      </c>
      <c r="M691" t="str">
        <f t="shared" si="10"/>
        <v>Adolescent</v>
      </c>
      <c r="N691" t="s">
        <v>18</v>
      </c>
    </row>
    <row r="692" spans="1:14" x14ac:dyDescent="0.3">
      <c r="A692">
        <v>28269</v>
      </c>
      <c r="B692" t="s">
        <v>39</v>
      </c>
      <c r="C692" t="s">
        <v>38</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37</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37</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39</v>
      </c>
      <c r="C695" t="s">
        <v>38</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39</v>
      </c>
      <c r="C696" t="s">
        <v>38</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37</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39</v>
      </c>
      <c r="C698" t="s">
        <v>37</v>
      </c>
      <c r="D698" s="4">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37</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39</v>
      </c>
      <c r="C701" t="s">
        <v>37</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39</v>
      </c>
      <c r="C703" t="s">
        <v>37</v>
      </c>
      <c r="D703" s="4">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37</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39</v>
      </c>
      <c r="C705" t="s">
        <v>38</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39</v>
      </c>
      <c r="C706" t="s">
        <v>38</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4">
        <v>70000</v>
      </c>
      <c r="E707">
        <v>4</v>
      </c>
      <c r="F707" t="s">
        <v>13</v>
      </c>
      <c r="G707" t="s">
        <v>28</v>
      </c>
      <c r="H707" t="s">
        <v>15</v>
      </c>
      <c r="I707">
        <v>1</v>
      </c>
      <c r="J707" t="s">
        <v>47</v>
      </c>
      <c r="K707" t="s">
        <v>32</v>
      </c>
      <c r="L707">
        <v>59</v>
      </c>
      <c r="M707" t="str">
        <f t="shared" ref="M707:M770" si="11">IF(L707&gt;54,"Old",IF(L707&gt;=31,"Middle Age",IF(L707&lt;31,"Adolescent")))</f>
        <v>Old</v>
      </c>
      <c r="N707" t="s">
        <v>18</v>
      </c>
    </row>
    <row r="708" spans="1:14" x14ac:dyDescent="0.3">
      <c r="A708">
        <v>20296</v>
      </c>
      <c r="B708" t="s">
        <v>39</v>
      </c>
      <c r="C708" t="s">
        <v>38</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37</v>
      </c>
      <c r="D710" s="4">
        <v>70000</v>
      </c>
      <c r="E710">
        <v>5</v>
      </c>
      <c r="F710" t="s">
        <v>13</v>
      </c>
      <c r="G710" t="s">
        <v>28</v>
      </c>
      <c r="H710" t="s">
        <v>15</v>
      </c>
      <c r="I710">
        <v>4</v>
      </c>
      <c r="J710" t="s">
        <v>47</v>
      </c>
      <c r="K710" t="s">
        <v>32</v>
      </c>
      <c r="L710">
        <v>60</v>
      </c>
      <c r="M710" t="str">
        <f t="shared" si="11"/>
        <v>Old</v>
      </c>
      <c r="N710" t="s">
        <v>18</v>
      </c>
    </row>
    <row r="711" spans="1:14" x14ac:dyDescent="0.3">
      <c r="A711">
        <v>23712</v>
      </c>
      <c r="B711" t="s">
        <v>39</v>
      </c>
      <c r="C711" t="s">
        <v>38</v>
      </c>
      <c r="D711" s="4">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37</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4">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39</v>
      </c>
      <c r="C715" t="s">
        <v>38</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37</v>
      </c>
      <c r="D716" s="4">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39</v>
      </c>
      <c r="C718" t="s">
        <v>38</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39</v>
      </c>
      <c r="C719" t="s">
        <v>37</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37</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39</v>
      </c>
      <c r="C722" t="s">
        <v>38</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39</v>
      </c>
      <c r="C723" t="s">
        <v>37</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39</v>
      </c>
      <c r="C724" t="s">
        <v>38</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39</v>
      </c>
      <c r="C725" t="s">
        <v>38</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37</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37</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37</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37</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37</v>
      </c>
      <c r="D730" s="4">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39</v>
      </c>
      <c r="C732" t="s">
        <v>38</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37</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39</v>
      </c>
      <c r="C734" t="s">
        <v>38</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39</v>
      </c>
      <c r="C735" t="s">
        <v>37</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39</v>
      </c>
      <c r="C736" t="s">
        <v>38</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39</v>
      </c>
      <c r="C737" t="s">
        <v>38</v>
      </c>
      <c r="D737" s="4">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37</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37</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39</v>
      </c>
      <c r="C740" t="s">
        <v>38</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4">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37</v>
      </c>
      <c r="D742" s="4">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39</v>
      </c>
      <c r="C744" t="s">
        <v>37</v>
      </c>
      <c r="D744" s="4">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37</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4">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37</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4">
        <v>60000</v>
      </c>
      <c r="E748">
        <v>2</v>
      </c>
      <c r="F748" t="s">
        <v>13</v>
      </c>
      <c r="G748" t="s">
        <v>28</v>
      </c>
      <c r="H748" t="s">
        <v>15</v>
      </c>
      <c r="I748">
        <v>0</v>
      </c>
      <c r="J748" t="s">
        <v>47</v>
      </c>
      <c r="K748" t="s">
        <v>32</v>
      </c>
      <c r="L748">
        <v>56</v>
      </c>
      <c r="M748" t="str">
        <f t="shared" si="11"/>
        <v>Old</v>
      </c>
      <c r="N748" t="s">
        <v>18</v>
      </c>
    </row>
    <row r="749" spans="1:14" x14ac:dyDescent="0.3">
      <c r="A749">
        <v>12957</v>
      </c>
      <c r="B749" t="s">
        <v>39</v>
      </c>
      <c r="C749" t="s">
        <v>38</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37</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37</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37</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37</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39</v>
      </c>
      <c r="C755" t="s">
        <v>38</v>
      </c>
      <c r="D755" s="4">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37</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37</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39</v>
      </c>
      <c r="C759" t="s">
        <v>37</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39</v>
      </c>
      <c r="C760" t="s">
        <v>38</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39</v>
      </c>
      <c r="C761" t="s">
        <v>38</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39</v>
      </c>
      <c r="C762" t="s">
        <v>37</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4">
        <v>60000</v>
      </c>
      <c r="E763">
        <v>5</v>
      </c>
      <c r="F763" t="s">
        <v>13</v>
      </c>
      <c r="G763" t="s">
        <v>28</v>
      </c>
      <c r="H763" t="s">
        <v>15</v>
      </c>
      <c r="I763">
        <v>3</v>
      </c>
      <c r="J763" t="s">
        <v>47</v>
      </c>
      <c r="K763" t="s">
        <v>32</v>
      </c>
      <c r="L763">
        <v>59</v>
      </c>
      <c r="M763" t="str">
        <f t="shared" si="11"/>
        <v>Old</v>
      </c>
      <c r="N763" t="s">
        <v>18</v>
      </c>
    </row>
    <row r="764" spans="1:14" x14ac:dyDescent="0.3">
      <c r="A764">
        <v>20657</v>
      </c>
      <c r="B764" t="s">
        <v>39</v>
      </c>
      <c r="C764" t="s">
        <v>37</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37</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3">
      <c r="A767">
        <v>16753</v>
      </c>
      <c r="B767" t="s">
        <v>39</v>
      </c>
      <c r="C767" t="s">
        <v>38</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37</v>
      </c>
      <c r="D768" s="4">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Age",IF(L771&lt;31,"Adolescent")))</f>
        <v>Middle Age</v>
      </c>
      <c r="N771" t="s">
        <v>18</v>
      </c>
    </row>
    <row r="772" spans="1:14" x14ac:dyDescent="0.3">
      <c r="A772">
        <v>17699</v>
      </c>
      <c r="B772" t="s">
        <v>36</v>
      </c>
      <c r="C772" t="s">
        <v>37</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37</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39</v>
      </c>
      <c r="C774" t="s">
        <v>37</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37</v>
      </c>
      <c r="D777" s="4">
        <v>70000</v>
      </c>
      <c r="E777">
        <v>2</v>
      </c>
      <c r="F777" t="s">
        <v>29</v>
      </c>
      <c r="G777" t="s">
        <v>14</v>
      </c>
      <c r="H777" t="s">
        <v>15</v>
      </c>
      <c r="I777">
        <v>2</v>
      </c>
      <c r="J777" t="s">
        <v>47</v>
      </c>
      <c r="K777" t="s">
        <v>32</v>
      </c>
      <c r="L777">
        <v>54</v>
      </c>
      <c r="M777" t="str">
        <f t="shared" si="12"/>
        <v>Middle Age</v>
      </c>
      <c r="N777" t="s">
        <v>18</v>
      </c>
    </row>
    <row r="778" spans="1:14" x14ac:dyDescent="0.3">
      <c r="A778">
        <v>26490</v>
      </c>
      <c r="B778" t="s">
        <v>39</v>
      </c>
      <c r="C778" t="s">
        <v>37</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39</v>
      </c>
      <c r="C779" t="s">
        <v>37</v>
      </c>
      <c r="D779" s="4">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37</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37</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4">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37</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39</v>
      </c>
      <c r="C784" t="s">
        <v>37</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37</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39</v>
      </c>
      <c r="C786" t="s">
        <v>38</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39</v>
      </c>
      <c r="C787" t="s">
        <v>38</v>
      </c>
      <c r="D787" s="4">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39</v>
      </c>
      <c r="C789" t="s">
        <v>38</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39</v>
      </c>
      <c r="C790" t="s">
        <v>38</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37</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39</v>
      </c>
      <c r="C792" t="s">
        <v>38</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37</v>
      </c>
      <c r="D793" s="4">
        <v>40000</v>
      </c>
      <c r="E793">
        <v>0</v>
      </c>
      <c r="F793" t="s">
        <v>27</v>
      </c>
      <c r="G793" t="s">
        <v>14</v>
      </c>
      <c r="H793" t="s">
        <v>15</v>
      </c>
      <c r="I793">
        <v>2</v>
      </c>
      <c r="J793" t="s">
        <v>23</v>
      </c>
      <c r="K793" t="s">
        <v>32</v>
      </c>
      <c r="L793">
        <v>28</v>
      </c>
      <c r="M793" t="str">
        <f t="shared" si="12"/>
        <v>Adolescent</v>
      </c>
      <c r="N793" t="s">
        <v>15</v>
      </c>
    </row>
    <row r="794" spans="1:14" x14ac:dyDescent="0.3">
      <c r="A794">
        <v>23256</v>
      </c>
      <c r="B794" t="s">
        <v>39</v>
      </c>
      <c r="C794" t="s">
        <v>37</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37</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37</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39</v>
      </c>
      <c r="C797" t="s">
        <v>37</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37</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39</v>
      </c>
      <c r="C799" t="s">
        <v>37</v>
      </c>
      <c r="D799" s="4">
        <v>60000</v>
      </c>
      <c r="E799">
        <v>0</v>
      </c>
      <c r="F799" t="s">
        <v>19</v>
      </c>
      <c r="G799" t="s">
        <v>14</v>
      </c>
      <c r="H799" t="s">
        <v>15</v>
      </c>
      <c r="I799">
        <v>1</v>
      </c>
      <c r="J799" t="s">
        <v>23</v>
      </c>
      <c r="K799" t="s">
        <v>32</v>
      </c>
      <c r="L799">
        <v>27</v>
      </c>
      <c r="M799" t="str">
        <f t="shared" si="12"/>
        <v>Adolescent</v>
      </c>
      <c r="N799" t="s">
        <v>15</v>
      </c>
    </row>
    <row r="800" spans="1:14" x14ac:dyDescent="0.3">
      <c r="A800">
        <v>22971</v>
      </c>
      <c r="B800" t="s">
        <v>39</v>
      </c>
      <c r="C800" t="s">
        <v>38</v>
      </c>
      <c r="D800" s="4">
        <v>30000</v>
      </c>
      <c r="E800">
        <v>0</v>
      </c>
      <c r="F800" t="s">
        <v>27</v>
      </c>
      <c r="G800" t="s">
        <v>14</v>
      </c>
      <c r="H800" t="s">
        <v>18</v>
      </c>
      <c r="I800">
        <v>2</v>
      </c>
      <c r="J800" t="s">
        <v>16</v>
      </c>
      <c r="K800" t="s">
        <v>32</v>
      </c>
      <c r="L800">
        <v>25</v>
      </c>
      <c r="M800" t="str">
        <f t="shared" si="12"/>
        <v>Adolescent</v>
      </c>
      <c r="N800" t="s">
        <v>15</v>
      </c>
    </row>
    <row r="801" spans="1:14" x14ac:dyDescent="0.3">
      <c r="A801">
        <v>15287</v>
      </c>
      <c r="B801" t="s">
        <v>39</v>
      </c>
      <c r="C801" t="s">
        <v>38</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39</v>
      </c>
      <c r="C802" t="s">
        <v>37</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37</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37</v>
      </c>
      <c r="D804" s="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37</v>
      </c>
      <c r="D805" s="4">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37</v>
      </c>
      <c r="D806" s="4">
        <v>40000</v>
      </c>
      <c r="E806">
        <v>0</v>
      </c>
      <c r="F806" t="s">
        <v>27</v>
      </c>
      <c r="G806" t="s">
        <v>14</v>
      </c>
      <c r="H806" t="s">
        <v>18</v>
      </c>
      <c r="I806">
        <v>2</v>
      </c>
      <c r="J806" t="s">
        <v>16</v>
      </c>
      <c r="K806" t="s">
        <v>32</v>
      </c>
      <c r="L806">
        <v>27</v>
      </c>
      <c r="M806" t="str">
        <f t="shared" si="12"/>
        <v>Adolescent</v>
      </c>
      <c r="N806" t="s">
        <v>15</v>
      </c>
    </row>
    <row r="807" spans="1:14" x14ac:dyDescent="0.3">
      <c r="A807">
        <v>26778</v>
      </c>
      <c r="B807" t="s">
        <v>39</v>
      </c>
      <c r="C807" t="s">
        <v>38</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39</v>
      </c>
      <c r="C809" t="s">
        <v>38</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39</v>
      </c>
      <c r="C810" t="s">
        <v>37</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39</v>
      </c>
      <c r="C812" t="s">
        <v>38</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37</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39</v>
      </c>
      <c r="C814" t="s">
        <v>38</v>
      </c>
      <c r="D814" s="4">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4">
        <v>70000</v>
      </c>
      <c r="E815">
        <v>2</v>
      </c>
      <c r="F815" t="s">
        <v>27</v>
      </c>
      <c r="G815" t="s">
        <v>21</v>
      </c>
      <c r="H815" t="s">
        <v>15</v>
      </c>
      <c r="I815">
        <v>2</v>
      </c>
      <c r="J815" t="s">
        <v>47</v>
      </c>
      <c r="K815" t="s">
        <v>32</v>
      </c>
      <c r="L815">
        <v>53</v>
      </c>
      <c r="M815" t="str">
        <f t="shared" si="12"/>
        <v>Middle Age</v>
      </c>
      <c r="N815" t="s">
        <v>18</v>
      </c>
    </row>
    <row r="816" spans="1:14" x14ac:dyDescent="0.3">
      <c r="A816">
        <v>13351</v>
      </c>
      <c r="B816" t="s">
        <v>39</v>
      </c>
      <c r="C816" t="s">
        <v>38</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37</v>
      </c>
      <c r="D817" s="4">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37</v>
      </c>
      <c r="D820" s="4">
        <v>40000</v>
      </c>
      <c r="E820">
        <v>0</v>
      </c>
      <c r="F820" t="s">
        <v>19</v>
      </c>
      <c r="G820" t="s">
        <v>14</v>
      </c>
      <c r="H820" t="s">
        <v>15</v>
      </c>
      <c r="I820">
        <v>1</v>
      </c>
      <c r="J820" t="s">
        <v>23</v>
      </c>
      <c r="K820" t="s">
        <v>32</v>
      </c>
      <c r="L820">
        <v>30</v>
      </c>
      <c r="M820" t="str">
        <f t="shared" si="12"/>
        <v>Adolescent</v>
      </c>
      <c r="N820" t="s">
        <v>18</v>
      </c>
    </row>
    <row r="821" spans="1:14" x14ac:dyDescent="0.3">
      <c r="A821">
        <v>27505</v>
      </c>
      <c r="B821" t="s">
        <v>39</v>
      </c>
      <c r="C821" t="s">
        <v>38</v>
      </c>
      <c r="D821" s="4">
        <v>40000</v>
      </c>
      <c r="E821">
        <v>0</v>
      </c>
      <c r="F821" t="s">
        <v>27</v>
      </c>
      <c r="G821" t="s">
        <v>14</v>
      </c>
      <c r="H821" t="s">
        <v>15</v>
      </c>
      <c r="I821">
        <v>2</v>
      </c>
      <c r="J821" t="s">
        <v>23</v>
      </c>
      <c r="K821" t="s">
        <v>32</v>
      </c>
      <c r="L821">
        <v>30</v>
      </c>
      <c r="M821" t="str">
        <f t="shared" si="12"/>
        <v>Adolescent</v>
      </c>
      <c r="N821" t="s">
        <v>18</v>
      </c>
    </row>
    <row r="822" spans="1:14" x14ac:dyDescent="0.3">
      <c r="A822">
        <v>29243</v>
      </c>
      <c r="B822" t="s">
        <v>39</v>
      </c>
      <c r="C822" t="s">
        <v>37</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37</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37</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39</v>
      </c>
      <c r="C825" t="s">
        <v>38</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39</v>
      </c>
      <c r="C826" t="s">
        <v>37</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37</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37</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39</v>
      </c>
      <c r="C829" t="s">
        <v>38</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39</v>
      </c>
      <c r="C830" t="s">
        <v>38</v>
      </c>
      <c r="D830" s="4">
        <v>40000</v>
      </c>
      <c r="E830">
        <v>0</v>
      </c>
      <c r="F830" t="s">
        <v>29</v>
      </c>
      <c r="G830" t="s">
        <v>20</v>
      </c>
      <c r="H830" t="s">
        <v>15</v>
      </c>
      <c r="I830">
        <v>2</v>
      </c>
      <c r="J830" t="s">
        <v>23</v>
      </c>
      <c r="K830" t="s">
        <v>32</v>
      </c>
      <c r="L830">
        <v>26</v>
      </c>
      <c r="M830" t="str">
        <f t="shared" si="12"/>
        <v>Adolescent</v>
      </c>
      <c r="N830" t="s">
        <v>18</v>
      </c>
    </row>
    <row r="831" spans="1:14" x14ac:dyDescent="0.3">
      <c r="A831">
        <v>16009</v>
      </c>
      <c r="B831" t="s">
        <v>39</v>
      </c>
      <c r="C831" t="s">
        <v>37</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37</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39</v>
      </c>
      <c r="C835" t="s">
        <v>38</v>
      </c>
      <c r="D835" s="4">
        <v>70000</v>
      </c>
      <c r="E835">
        <v>0</v>
      </c>
      <c r="F835" t="s">
        <v>13</v>
      </c>
      <c r="G835" t="s">
        <v>21</v>
      </c>
      <c r="H835" t="s">
        <v>18</v>
      </c>
      <c r="I835">
        <v>1</v>
      </c>
      <c r="J835" t="s">
        <v>16</v>
      </c>
      <c r="K835" t="s">
        <v>32</v>
      </c>
      <c r="L835">
        <v>37</v>
      </c>
      <c r="M835" t="str">
        <f t="shared" ref="M835:M898" si="13">IF(L835&gt;54,"Old",IF(L835&gt;=31,"Middle Age",IF(L835&lt;31,"Adolescent")))</f>
        <v>Middle Age</v>
      </c>
      <c r="N835" t="s">
        <v>15</v>
      </c>
    </row>
    <row r="836" spans="1:14" x14ac:dyDescent="0.3">
      <c r="A836">
        <v>19889</v>
      </c>
      <c r="B836" t="s">
        <v>39</v>
      </c>
      <c r="C836" t="s">
        <v>38</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39</v>
      </c>
      <c r="C837" t="s">
        <v>38</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37</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39</v>
      </c>
      <c r="C840" t="s">
        <v>38</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39</v>
      </c>
      <c r="C841" t="s">
        <v>38</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37</v>
      </c>
      <c r="D842" s="4">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37</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39</v>
      </c>
      <c r="C845" t="s">
        <v>37</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4">
        <v>40000</v>
      </c>
      <c r="E846">
        <v>5</v>
      </c>
      <c r="F846" t="s">
        <v>27</v>
      </c>
      <c r="G846" t="s">
        <v>21</v>
      </c>
      <c r="H846" t="s">
        <v>15</v>
      </c>
      <c r="I846">
        <v>2</v>
      </c>
      <c r="J846" t="s">
        <v>47</v>
      </c>
      <c r="K846" t="s">
        <v>32</v>
      </c>
      <c r="L846">
        <v>60</v>
      </c>
      <c r="M846" t="str">
        <f t="shared" si="13"/>
        <v>Old</v>
      </c>
      <c r="N846" t="s">
        <v>18</v>
      </c>
    </row>
    <row r="847" spans="1:14" x14ac:dyDescent="0.3">
      <c r="A847">
        <v>25343</v>
      </c>
      <c r="B847" t="s">
        <v>39</v>
      </c>
      <c r="C847" t="s">
        <v>38</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39</v>
      </c>
      <c r="C849" t="s">
        <v>38</v>
      </c>
      <c r="D849" s="4">
        <v>40000</v>
      </c>
      <c r="E849">
        <v>0</v>
      </c>
      <c r="F849" t="s">
        <v>29</v>
      </c>
      <c r="G849" t="s">
        <v>20</v>
      </c>
      <c r="H849" t="s">
        <v>15</v>
      </c>
      <c r="I849">
        <v>2</v>
      </c>
      <c r="J849" t="s">
        <v>23</v>
      </c>
      <c r="K849" t="s">
        <v>32</v>
      </c>
      <c r="L849">
        <v>29</v>
      </c>
      <c r="M849" t="str">
        <f t="shared" si="13"/>
        <v>Adolescent</v>
      </c>
      <c r="N849" t="s">
        <v>18</v>
      </c>
    </row>
    <row r="850" spans="1:14" x14ac:dyDescent="0.3">
      <c r="A850">
        <v>13176</v>
      </c>
      <c r="B850" t="s">
        <v>39</v>
      </c>
      <c r="C850" t="s">
        <v>37</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39</v>
      </c>
      <c r="C852" t="s">
        <v>38</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37</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39</v>
      </c>
      <c r="C854" t="s">
        <v>37</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39</v>
      </c>
      <c r="C855" t="s">
        <v>37</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39</v>
      </c>
      <c r="C857" t="s">
        <v>38</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39</v>
      </c>
      <c r="C858" t="s">
        <v>37</v>
      </c>
      <c r="D858" s="4">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37</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37</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39</v>
      </c>
      <c r="C862" t="s">
        <v>37</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37</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39</v>
      </c>
      <c r="C865" t="s">
        <v>37</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39</v>
      </c>
      <c r="C866" t="s">
        <v>37</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39</v>
      </c>
      <c r="C867" t="s">
        <v>38</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37</v>
      </c>
      <c r="D868" s="4">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37</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39</v>
      </c>
      <c r="C870" t="s">
        <v>37</v>
      </c>
      <c r="D870" s="4">
        <v>30000</v>
      </c>
      <c r="E870">
        <v>5</v>
      </c>
      <c r="F870" t="s">
        <v>29</v>
      </c>
      <c r="G870" t="s">
        <v>14</v>
      </c>
      <c r="H870" t="s">
        <v>15</v>
      </c>
      <c r="I870">
        <v>3</v>
      </c>
      <c r="J870" t="s">
        <v>47</v>
      </c>
      <c r="K870" t="s">
        <v>32</v>
      </c>
      <c r="L870">
        <v>60</v>
      </c>
      <c r="M870" t="str">
        <f t="shared" si="13"/>
        <v>Old</v>
      </c>
      <c r="N870" t="s">
        <v>15</v>
      </c>
    </row>
    <row r="871" spans="1:14" x14ac:dyDescent="0.3">
      <c r="A871">
        <v>26065</v>
      </c>
      <c r="B871" t="s">
        <v>39</v>
      </c>
      <c r="C871" t="s">
        <v>38</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37</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37</v>
      </c>
      <c r="D873" s="4">
        <v>60000</v>
      </c>
      <c r="E873">
        <v>2</v>
      </c>
      <c r="F873" t="s">
        <v>27</v>
      </c>
      <c r="G873" t="s">
        <v>21</v>
      </c>
      <c r="H873" t="s">
        <v>15</v>
      </c>
      <c r="I873">
        <v>2</v>
      </c>
      <c r="J873" t="s">
        <v>47</v>
      </c>
      <c r="K873" t="s">
        <v>32</v>
      </c>
      <c r="L873">
        <v>55</v>
      </c>
      <c r="M873" t="str">
        <f t="shared" si="13"/>
        <v>Old</v>
      </c>
      <c r="N873" t="s">
        <v>18</v>
      </c>
    </row>
    <row r="874" spans="1:14" x14ac:dyDescent="0.3">
      <c r="A874">
        <v>22118</v>
      </c>
      <c r="B874" t="s">
        <v>39</v>
      </c>
      <c r="C874" t="s">
        <v>38</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37</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39</v>
      </c>
      <c r="C877" t="s">
        <v>38</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39</v>
      </c>
      <c r="C878" t="s">
        <v>37</v>
      </c>
      <c r="D878" s="4">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37</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37</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37</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37</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37</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37</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37</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37</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39</v>
      </c>
      <c r="C890" t="s">
        <v>38</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39</v>
      </c>
      <c r="C893" t="s">
        <v>37</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39</v>
      </c>
      <c r="C894" t="s">
        <v>38</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37</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37</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37</v>
      </c>
      <c r="D899" s="4">
        <v>30000</v>
      </c>
      <c r="E899">
        <v>0</v>
      </c>
      <c r="F899" t="s">
        <v>29</v>
      </c>
      <c r="G899" t="s">
        <v>20</v>
      </c>
      <c r="H899" t="s">
        <v>18</v>
      </c>
      <c r="I899">
        <v>2</v>
      </c>
      <c r="J899" t="s">
        <v>16</v>
      </c>
      <c r="K899" t="s">
        <v>32</v>
      </c>
      <c r="L899">
        <v>28</v>
      </c>
      <c r="M899" t="str">
        <f t="shared" ref="M899:M962" si="14">IF(L899&gt;54,"Old",IF(L899&gt;=31,"Middle Age",IF(L899&lt;31,"Adolescent")))</f>
        <v>Adolescent</v>
      </c>
      <c r="N899" t="s">
        <v>18</v>
      </c>
    </row>
    <row r="900" spans="1:14" x14ac:dyDescent="0.3">
      <c r="A900">
        <v>18066</v>
      </c>
      <c r="B900" t="s">
        <v>39</v>
      </c>
      <c r="C900" t="s">
        <v>37</v>
      </c>
      <c r="D900" s="4">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4">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37</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39</v>
      </c>
      <c r="C903" t="s">
        <v>38</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39</v>
      </c>
      <c r="C904" t="s">
        <v>37</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39</v>
      </c>
      <c r="C905" t="s">
        <v>37</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39</v>
      </c>
      <c r="C906" t="s">
        <v>38</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39</v>
      </c>
      <c r="C907" t="s">
        <v>37</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37</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37</v>
      </c>
      <c r="D909" s="4">
        <v>50000</v>
      </c>
      <c r="E909">
        <v>4</v>
      </c>
      <c r="F909" t="s">
        <v>13</v>
      </c>
      <c r="G909" t="s">
        <v>28</v>
      </c>
      <c r="H909" t="s">
        <v>15</v>
      </c>
      <c r="I909">
        <v>2</v>
      </c>
      <c r="J909" t="s">
        <v>47</v>
      </c>
      <c r="K909" t="s">
        <v>32</v>
      </c>
      <c r="L909">
        <v>63</v>
      </c>
      <c r="M909" t="str">
        <f t="shared" si="14"/>
        <v>Old</v>
      </c>
      <c r="N909" t="s">
        <v>18</v>
      </c>
    </row>
    <row r="910" spans="1:14" x14ac:dyDescent="0.3">
      <c r="A910">
        <v>23195</v>
      </c>
      <c r="B910" t="s">
        <v>39</v>
      </c>
      <c r="C910" t="s">
        <v>37</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37</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37</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39</v>
      </c>
      <c r="C915" t="s">
        <v>37</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39</v>
      </c>
      <c r="C916" t="s">
        <v>37</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37</v>
      </c>
      <c r="D917" s="4">
        <v>60000</v>
      </c>
      <c r="E917">
        <v>3</v>
      </c>
      <c r="F917" t="s">
        <v>31</v>
      </c>
      <c r="G917" t="s">
        <v>28</v>
      </c>
      <c r="H917" t="s">
        <v>15</v>
      </c>
      <c r="I917">
        <v>2</v>
      </c>
      <c r="J917" t="s">
        <v>47</v>
      </c>
      <c r="K917" t="s">
        <v>32</v>
      </c>
      <c r="L917">
        <v>64</v>
      </c>
      <c r="M917" t="str">
        <f t="shared" si="14"/>
        <v>Old</v>
      </c>
      <c r="N917" t="s">
        <v>18</v>
      </c>
    </row>
    <row r="918" spans="1:14" x14ac:dyDescent="0.3">
      <c r="A918">
        <v>27273</v>
      </c>
      <c r="B918" t="s">
        <v>39</v>
      </c>
      <c r="C918" t="s">
        <v>37</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39</v>
      </c>
      <c r="C919" t="s">
        <v>37</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4">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37</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39</v>
      </c>
      <c r="C923" t="s">
        <v>38</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39</v>
      </c>
      <c r="C925" t="s">
        <v>37</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39</v>
      </c>
      <c r="C926" t="s">
        <v>37</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39</v>
      </c>
      <c r="C927" t="s">
        <v>38</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39</v>
      </c>
      <c r="C928" t="s">
        <v>38</v>
      </c>
      <c r="D928" s="4">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37</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37</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37</v>
      </c>
      <c r="D932" s="4">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39</v>
      </c>
      <c r="C934" t="s">
        <v>38</v>
      </c>
      <c r="D934" s="4">
        <v>40000</v>
      </c>
      <c r="E934">
        <v>0</v>
      </c>
      <c r="F934" t="s">
        <v>27</v>
      </c>
      <c r="G934" t="s">
        <v>14</v>
      </c>
      <c r="H934" t="s">
        <v>18</v>
      </c>
      <c r="I934">
        <v>2</v>
      </c>
      <c r="J934" t="s">
        <v>16</v>
      </c>
      <c r="K934" t="s">
        <v>32</v>
      </c>
      <c r="L934">
        <v>27</v>
      </c>
      <c r="M934" t="str">
        <f t="shared" si="14"/>
        <v>Adolescent</v>
      </c>
      <c r="N934" t="s">
        <v>15</v>
      </c>
    </row>
    <row r="935" spans="1:14" x14ac:dyDescent="0.3">
      <c r="A935">
        <v>11941</v>
      </c>
      <c r="B935" t="s">
        <v>39</v>
      </c>
      <c r="C935" t="s">
        <v>37</v>
      </c>
      <c r="D935" s="4">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37</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37</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3">
      <c r="A941">
        <v>23455</v>
      </c>
      <c r="B941" t="s">
        <v>39</v>
      </c>
      <c r="C941" t="s">
        <v>37</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39</v>
      </c>
      <c r="C942" t="s">
        <v>38</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39</v>
      </c>
      <c r="C947" t="s">
        <v>37</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39</v>
      </c>
      <c r="C949" t="s">
        <v>38</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39</v>
      </c>
      <c r="C950" t="s">
        <v>38</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37</v>
      </c>
      <c r="D951" s="4">
        <v>70000</v>
      </c>
      <c r="E951">
        <v>2</v>
      </c>
      <c r="F951" t="s">
        <v>29</v>
      </c>
      <c r="G951" t="s">
        <v>14</v>
      </c>
      <c r="H951" t="s">
        <v>15</v>
      </c>
      <c r="I951">
        <v>2</v>
      </c>
      <c r="J951" t="s">
        <v>47</v>
      </c>
      <c r="K951" t="s">
        <v>32</v>
      </c>
      <c r="L951">
        <v>53</v>
      </c>
      <c r="M951" t="str">
        <f t="shared" si="14"/>
        <v>Middle Age</v>
      </c>
      <c r="N951" t="s">
        <v>18</v>
      </c>
    </row>
    <row r="952" spans="1:14" x14ac:dyDescent="0.3">
      <c r="A952">
        <v>11788</v>
      </c>
      <c r="B952" t="s">
        <v>39</v>
      </c>
      <c r="C952" t="s">
        <v>38</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37</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39</v>
      </c>
      <c r="C955" t="s">
        <v>38</v>
      </c>
      <c r="D955" s="4">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37</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37</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37</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39</v>
      </c>
      <c r="C962" t="s">
        <v>37</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4">
        <v>120000</v>
      </c>
      <c r="E963">
        <v>2</v>
      </c>
      <c r="F963" t="s">
        <v>13</v>
      </c>
      <c r="G963" t="s">
        <v>28</v>
      </c>
      <c r="H963" t="s">
        <v>15</v>
      </c>
      <c r="I963">
        <v>3</v>
      </c>
      <c r="J963" t="s">
        <v>23</v>
      </c>
      <c r="K963" t="s">
        <v>32</v>
      </c>
      <c r="L963">
        <v>62</v>
      </c>
      <c r="M963" t="str">
        <f t="shared" ref="M963:M1001" si="15">IF(L963&gt;54,"Old",IF(L963&gt;=31,"Middle Age",IF(L963&lt;31,"Adolescent")))</f>
        <v>Old</v>
      </c>
      <c r="N963" t="s">
        <v>18</v>
      </c>
    </row>
    <row r="964" spans="1:14" x14ac:dyDescent="0.3">
      <c r="A964">
        <v>16813</v>
      </c>
      <c r="B964" t="s">
        <v>36</v>
      </c>
      <c r="C964" t="s">
        <v>37</v>
      </c>
      <c r="D964" s="4">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39</v>
      </c>
      <c r="C966" t="s">
        <v>37</v>
      </c>
      <c r="D966" s="4">
        <v>70000</v>
      </c>
      <c r="E966">
        <v>4</v>
      </c>
      <c r="F966" t="s">
        <v>19</v>
      </c>
      <c r="G966" t="s">
        <v>21</v>
      </c>
      <c r="H966" t="s">
        <v>15</v>
      </c>
      <c r="I966">
        <v>1</v>
      </c>
      <c r="J966" t="s">
        <v>47</v>
      </c>
      <c r="K966" t="s">
        <v>32</v>
      </c>
      <c r="L966">
        <v>56</v>
      </c>
      <c r="M966" t="str">
        <f t="shared" si="15"/>
        <v>Old</v>
      </c>
      <c r="N966" t="s">
        <v>18</v>
      </c>
    </row>
    <row r="967" spans="1:14" x14ac:dyDescent="0.3">
      <c r="A967">
        <v>27756</v>
      </c>
      <c r="B967" t="s">
        <v>39</v>
      </c>
      <c r="C967" t="s">
        <v>38</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37</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39</v>
      </c>
      <c r="C970" t="s">
        <v>37</v>
      </c>
      <c r="D970" s="4">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37</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39</v>
      </c>
      <c r="C973" t="s">
        <v>38</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37</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37</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37</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4">
        <v>60000</v>
      </c>
      <c r="E978">
        <v>3</v>
      </c>
      <c r="F978" t="s">
        <v>13</v>
      </c>
      <c r="G978" t="s">
        <v>28</v>
      </c>
      <c r="H978" t="s">
        <v>15</v>
      </c>
      <c r="I978">
        <v>2</v>
      </c>
      <c r="J978" t="s">
        <v>47</v>
      </c>
      <c r="K978" t="s">
        <v>32</v>
      </c>
      <c r="L978">
        <v>66</v>
      </c>
      <c r="M978" t="str">
        <f t="shared" si="15"/>
        <v>Old</v>
      </c>
      <c r="N978" t="s">
        <v>18</v>
      </c>
    </row>
    <row r="979" spans="1:14" x14ac:dyDescent="0.3">
      <c r="A979">
        <v>19741</v>
      </c>
      <c r="B979" t="s">
        <v>39</v>
      </c>
      <c r="C979" t="s">
        <v>38</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37</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39</v>
      </c>
      <c r="C981" t="s">
        <v>37</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39</v>
      </c>
      <c r="C982" t="s">
        <v>38</v>
      </c>
      <c r="D982" s="4">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37</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39</v>
      </c>
      <c r="C984" t="s">
        <v>37</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37</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37</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39</v>
      </c>
      <c r="C987" t="s">
        <v>38</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39</v>
      </c>
      <c r="C988" t="s">
        <v>37</v>
      </c>
      <c r="D988" s="4">
        <v>40000</v>
      </c>
      <c r="E988">
        <v>5</v>
      </c>
      <c r="F988" t="s">
        <v>27</v>
      </c>
      <c r="G988" t="s">
        <v>21</v>
      </c>
      <c r="H988" t="s">
        <v>15</v>
      </c>
      <c r="I988">
        <v>4</v>
      </c>
      <c r="J988" t="s">
        <v>47</v>
      </c>
      <c r="K988" t="s">
        <v>32</v>
      </c>
      <c r="L988">
        <v>60</v>
      </c>
      <c r="M988" t="str">
        <f t="shared" si="15"/>
        <v>Old</v>
      </c>
      <c r="N988" t="s">
        <v>15</v>
      </c>
    </row>
    <row r="989" spans="1:14" x14ac:dyDescent="0.3">
      <c r="A989">
        <v>28972</v>
      </c>
      <c r="B989" t="s">
        <v>39</v>
      </c>
      <c r="C989" t="s">
        <v>38</v>
      </c>
      <c r="D989" s="4">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37</v>
      </c>
      <c r="D990" s="4">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37</v>
      </c>
      <c r="D991" s="4">
        <v>60000</v>
      </c>
      <c r="E991">
        <v>4</v>
      </c>
      <c r="F991" t="s">
        <v>13</v>
      </c>
      <c r="G991" t="s">
        <v>14</v>
      </c>
      <c r="H991" t="s">
        <v>18</v>
      </c>
      <c r="I991">
        <v>3</v>
      </c>
      <c r="J991" t="s">
        <v>47</v>
      </c>
      <c r="K991" t="s">
        <v>32</v>
      </c>
      <c r="L991">
        <v>42</v>
      </c>
      <c r="M991" t="str">
        <f t="shared" si="15"/>
        <v>Middle Age</v>
      </c>
      <c r="N991" t="s">
        <v>18</v>
      </c>
    </row>
    <row r="992" spans="1:14" x14ac:dyDescent="0.3">
      <c r="A992">
        <v>14332</v>
      </c>
      <c r="B992" t="s">
        <v>39</v>
      </c>
      <c r="C992" t="s">
        <v>38</v>
      </c>
      <c r="D992" s="4">
        <v>30000</v>
      </c>
      <c r="E992">
        <v>0</v>
      </c>
      <c r="F992" t="s">
        <v>27</v>
      </c>
      <c r="G992" t="s">
        <v>14</v>
      </c>
      <c r="H992" t="s">
        <v>18</v>
      </c>
      <c r="I992">
        <v>2</v>
      </c>
      <c r="J992" t="s">
        <v>23</v>
      </c>
      <c r="K992" t="s">
        <v>32</v>
      </c>
      <c r="L992">
        <v>26</v>
      </c>
      <c r="M992" t="str">
        <f t="shared" si="15"/>
        <v>Adolescent</v>
      </c>
      <c r="N992" t="s">
        <v>18</v>
      </c>
    </row>
    <row r="993" spans="1:14" x14ac:dyDescent="0.3">
      <c r="A993">
        <v>19117</v>
      </c>
      <c r="B993" t="s">
        <v>39</v>
      </c>
      <c r="C993" t="s">
        <v>38</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37</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39</v>
      </c>
      <c r="C995" t="s">
        <v>37</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37</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37</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39</v>
      </c>
      <c r="C998" t="s">
        <v>37</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37</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39</v>
      </c>
      <c r="C1000" t="s">
        <v>37</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39</v>
      </c>
      <c r="C1001" t="s">
        <v>37</v>
      </c>
      <c r="D1001" s="4">
        <v>60000</v>
      </c>
      <c r="E1001">
        <v>3</v>
      </c>
      <c r="F1001" t="s">
        <v>27</v>
      </c>
      <c r="G1001" t="s">
        <v>21</v>
      </c>
      <c r="H1001" t="s">
        <v>15</v>
      </c>
      <c r="I1001">
        <v>2</v>
      </c>
      <c r="J1001" t="s">
        <v>47</v>
      </c>
      <c r="K1001" t="s">
        <v>32</v>
      </c>
      <c r="L1001">
        <v>53</v>
      </c>
      <c r="M1001" t="str">
        <f t="shared" si="15"/>
        <v>Middle Age</v>
      </c>
      <c r="N1001" t="s">
        <v>15</v>
      </c>
    </row>
  </sheetData>
  <autoFilter ref="A1:N1001" xr:uid="{431EE778-B0A9-40C9-B97A-47A63CC7F2B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31837-6D50-4F22-8DCE-CE5E2FD4A94C}">
  <dimension ref="A1:D113"/>
  <sheetViews>
    <sheetView topLeftCell="A31" workbookViewId="0">
      <selection activeCell="A60" sqref="A60"/>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8.5546875" bestFit="1" customWidth="1"/>
    <col min="6" max="6" width="9.5546875" bestFit="1" customWidth="1"/>
    <col min="7" max="7" width="10.77734375" bestFit="1" customWidth="1"/>
  </cols>
  <sheetData>
    <row r="1" spans="1:4" x14ac:dyDescent="0.3">
      <c r="A1" s="5" t="s">
        <v>45</v>
      </c>
      <c r="B1" s="5" t="s">
        <v>44</v>
      </c>
    </row>
    <row r="2" spans="1:4" x14ac:dyDescent="0.3">
      <c r="A2" s="5" t="s">
        <v>41</v>
      </c>
      <c r="B2" t="s">
        <v>18</v>
      </c>
      <c r="C2" t="s">
        <v>15</v>
      </c>
      <c r="D2" t="s">
        <v>42</v>
      </c>
    </row>
    <row r="3" spans="1:4" x14ac:dyDescent="0.3">
      <c r="A3" s="6" t="s">
        <v>38</v>
      </c>
      <c r="B3" s="7">
        <v>53440</v>
      </c>
      <c r="C3" s="7">
        <v>55774.058577405856</v>
      </c>
      <c r="D3" s="7">
        <v>54580.777096114522</v>
      </c>
    </row>
    <row r="4" spans="1:4" x14ac:dyDescent="0.3">
      <c r="A4" s="6" t="s">
        <v>37</v>
      </c>
      <c r="B4" s="7">
        <v>56208.178438661707</v>
      </c>
      <c r="C4" s="7">
        <v>60123.966942148763</v>
      </c>
      <c r="D4" s="7">
        <v>58062.62230919765</v>
      </c>
    </row>
    <row r="5" spans="1:4" x14ac:dyDescent="0.3">
      <c r="A5" s="6" t="s">
        <v>42</v>
      </c>
      <c r="B5" s="7">
        <v>54874.759152215796</v>
      </c>
      <c r="C5" s="7">
        <v>57962.577962577961</v>
      </c>
      <c r="D5" s="7">
        <v>56360</v>
      </c>
    </row>
    <row r="21" spans="1:4" x14ac:dyDescent="0.3">
      <c r="A21" s="5" t="s">
        <v>46</v>
      </c>
      <c r="B21" s="5" t="s">
        <v>44</v>
      </c>
    </row>
    <row r="22" spans="1:4" x14ac:dyDescent="0.3">
      <c r="A22" s="5" t="s">
        <v>41</v>
      </c>
      <c r="B22" t="s">
        <v>18</v>
      </c>
      <c r="C22" t="s">
        <v>15</v>
      </c>
      <c r="D22" t="s">
        <v>42</v>
      </c>
    </row>
    <row r="23" spans="1:4" x14ac:dyDescent="0.3">
      <c r="A23" s="6" t="s">
        <v>16</v>
      </c>
      <c r="B23" s="3">
        <v>166</v>
      </c>
      <c r="C23" s="3">
        <v>200</v>
      </c>
      <c r="D23" s="3">
        <v>366</v>
      </c>
    </row>
    <row r="24" spans="1:4" x14ac:dyDescent="0.3">
      <c r="A24" s="6" t="s">
        <v>26</v>
      </c>
      <c r="B24" s="3">
        <v>92</v>
      </c>
      <c r="C24" s="3">
        <v>77</v>
      </c>
      <c r="D24" s="3">
        <v>169</v>
      </c>
    </row>
    <row r="25" spans="1:4" x14ac:dyDescent="0.3">
      <c r="A25" s="6" t="s">
        <v>22</v>
      </c>
      <c r="B25" s="3">
        <v>67</v>
      </c>
      <c r="C25" s="3">
        <v>95</v>
      </c>
      <c r="D25" s="3">
        <v>162</v>
      </c>
    </row>
    <row r="26" spans="1:4" x14ac:dyDescent="0.3">
      <c r="A26" s="6" t="s">
        <v>23</v>
      </c>
      <c r="B26" s="3">
        <v>116</v>
      </c>
      <c r="C26" s="3">
        <v>76</v>
      </c>
      <c r="D26" s="3">
        <v>192</v>
      </c>
    </row>
    <row r="27" spans="1:4" x14ac:dyDescent="0.3">
      <c r="A27" s="6" t="s">
        <v>47</v>
      </c>
      <c r="B27" s="3">
        <v>78</v>
      </c>
      <c r="C27" s="3">
        <v>33</v>
      </c>
      <c r="D27" s="3">
        <v>111</v>
      </c>
    </row>
    <row r="28" spans="1:4" x14ac:dyDescent="0.3">
      <c r="A28" s="6" t="s">
        <v>42</v>
      </c>
      <c r="B28" s="3">
        <v>519</v>
      </c>
      <c r="C28" s="3">
        <v>481</v>
      </c>
      <c r="D28" s="3">
        <v>1000</v>
      </c>
    </row>
    <row r="41" spans="1:4" x14ac:dyDescent="0.3">
      <c r="A41" s="5" t="s">
        <v>43</v>
      </c>
      <c r="B41" s="5" t="s">
        <v>44</v>
      </c>
    </row>
    <row r="42" spans="1:4" x14ac:dyDescent="0.3">
      <c r="A42" s="5" t="s">
        <v>41</v>
      </c>
      <c r="B42" t="s">
        <v>18</v>
      </c>
      <c r="C42" t="s">
        <v>15</v>
      </c>
      <c r="D42" t="s">
        <v>42</v>
      </c>
    </row>
    <row r="43" spans="1:4" x14ac:dyDescent="0.3">
      <c r="A43" s="6" t="s">
        <v>48</v>
      </c>
      <c r="B43" s="3">
        <v>71</v>
      </c>
      <c r="C43" s="3">
        <v>39</v>
      </c>
      <c r="D43" s="3">
        <v>110</v>
      </c>
    </row>
    <row r="44" spans="1:4" x14ac:dyDescent="0.3">
      <c r="A44" s="6" t="s">
        <v>49</v>
      </c>
      <c r="B44" s="3">
        <v>318</v>
      </c>
      <c r="C44" s="3">
        <v>383</v>
      </c>
      <c r="D44" s="3">
        <v>701</v>
      </c>
    </row>
    <row r="45" spans="1:4" x14ac:dyDescent="0.3">
      <c r="A45" s="6" t="s">
        <v>50</v>
      </c>
      <c r="B45" s="3">
        <v>130</v>
      </c>
      <c r="C45" s="3">
        <v>59</v>
      </c>
      <c r="D45" s="3">
        <v>189</v>
      </c>
    </row>
    <row r="46" spans="1:4" x14ac:dyDescent="0.3">
      <c r="A46" s="6" t="s">
        <v>42</v>
      </c>
      <c r="B46" s="3">
        <v>519</v>
      </c>
      <c r="C46" s="3">
        <v>481</v>
      </c>
      <c r="D46" s="3">
        <v>1000</v>
      </c>
    </row>
    <row r="58" spans="1:4" x14ac:dyDescent="0.3">
      <c r="A58" s="5" t="s">
        <v>43</v>
      </c>
      <c r="B58" s="5" t="s">
        <v>44</v>
      </c>
    </row>
    <row r="59" spans="1:4" x14ac:dyDescent="0.3">
      <c r="A59" s="5" t="s">
        <v>41</v>
      </c>
      <c r="B59" t="s">
        <v>18</v>
      </c>
      <c r="C59" t="s">
        <v>15</v>
      </c>
      <c r="D59" t="s">
        <v>42</v>
      </c>
    </row>
    <row r="60" spans="1:4" x14ac:dyDescent="0.3">
      <c r="A60" s="6">
        <v>25</v>
      </c>
      <c r="B60" s="3">
        <v>2</v>
      </c>
      <c r="C60" s="3">
        <v>4</v>
      </c>
      <c r="D60" s="3">
        <v>6</v>
      </c>
    </row>
    <row r="61" spans="1:4" x14ac:dyDescent="0.3">
      <c r="A61" s="6">
        <v>26</v>
      </c>
      <c r="B61" s="3">
        <v>8</v>
      </c>
      <c r="C61" s="3">
        <v>8</v>
      </c>
      <c r="D61" s="3">
        <v>16</v>
      </c>
    </row>
    <row r="62" spans="1:4" x14ac:dyDescent="0.3">
      <c r="A62" s="6">
        <v>27</v>
      </c>
      <c r="B62" s="3">
        <v>15</v>
      </c>
      <c r="C62" s="3">
        <v>8</v>
      </c>
      <c r="D62" s="3">
        <v>23</v>
      </c>
    </row>
    <row r="63" spans="1:4" x14ac:dyDescent="0.3">
      <c r="A63" s="6">
        <v>28</v>
      </c>
      <c r="B63" s="3">
        <v>12</v>
      </c>
      <c r="C63" s="3">
        <v>10</v>
      </c>
      <c r="D63" s="3">
        <v>22</v>
      </c>
    </row>
    <row r="64" spans="1:4" x14ac:dyDescent="0.3">
      <c r="A64" s="6">
        <v>29</v>
      </c>
      <c r="B64" s="3">
        <v>11</v>
      </c>
      <c r="C64" s="3">
        <v>5</v>
      </c>
      <c r="D64" s="3">
        <v>16</v>
      </c>
    </row>
    <row r="65" spans="1:4" x14ac:dyDescent="0.3">
      <c r="A65" s="6">
        <v>30</v>
      </c>
      <c r="B65" s="3">
        <v>23</v>
      </c>
      <c r="C65" s="3">
        <v>4</v>
      </c>
      <c r="D65" s="3">
        <v>27</v>
      </c>
    </row>
    <row r="66" spans="1:4" x14ac:dyDescent="0.3">
      <c r="A66" s="6">
        <v>31</v>
      </c>
      <c r="B66" s="3">
        <v>17</v>
      </c>
      <c r="C66" s="3">
        <v>8</v>
      </c>
      <c r="D66" s="3">
        <v>25</v>
      </c>
    </row>
    <row r="67" spans="1:4" x14ac:dyDescent="0.3">
      <c r="A67" s="6">
        <v>32</v>
      </c>
      <c r="B67" s="3">
        <v>19</v>
      </c>
      <c r="C67" s="3">
        <v>14</v>
      </c>
      <c r="D67" s="3">
        <v>33</v>
      </c>
    </row>
    <row r="68" spans="1:4" x14ac:dyDescent="0.3">
      <c r="A68" s="6">
        <v>33</v>
      </c>
      <c r="B68" s="3">
        <v>8</v>
      </c>
      <c r="C68" s="3">
        <v>13</v>
      </c>
      <c r="D68" s="3">
        <v>21</v>
      </c>
    </row>
    <row r="69" spans="1:4" x14ac:dyDescent="0.3">
      <c r="A69" s="6">
        <v>34</v>
      </c>
      <c r="B69" s="3">
        <v>12</v>
      </c>
      <c r="C69" s="3">
        <v>19</v>
      </c>
      <c r="D69" s="3">
        <v>31</v>
      </c>
    </row>
    <row r="70" spans="1:4" x14ac:dyDescent="0.3">
      <c r="A70" s="6">
        <v>35</v>
      </c>
      <c r="B70" s="3">
        <v>14</v>
      </c>
      <c r="C70" s="3">
        <v>22</v>
      </c>
      <c r="D70" s="3">
        <v>36</v>
      </c>
    </row>
    <row r="71" spans="1:4" x14ac:dyDescent="0.3">
      <c r="A71" s="6">
        <v>36</v>
      </c>
      <c r="B71" s="3">
        <v>7</v>
      </c>
      <c r="C71" s="3">
        <v>30</v>
      </c>
      <c r="D71" s="3">
        <v>37</v>
      </c>
    </row>
    <row r="72" spans="1:4" x14ac:dyDescent="0.3">
      <c r="A72" s="6">
        <v>37</v>
      </c>
      <c r="B72" s="3">
        <v>4</v>
      </c>
      <c r="C72" s="3">
        <v>28</v>
      </c>
      <c r="D72" s="3">
        <v>32</v>
      </c>
    </row>
    <row r="73" spans="1:4" x14ac:dyDescent="0.3">
      <c r="A73" s="6">
        <v>38</v>
      </c>
      <c r="B73" s="3">
        <v>8</v>
      </c>
      <c r="C73" s="3">
        <v>29</v>
      </c>
      <c r="D73" s="3">
        <v>37</v>
      </c>
    </row>
    <row r="74" spans="1:4" x14ac:dyDescent="0.3">
      <c r="A74" s="6">
        <v>39</v>
      </c>
      <c r="B74" s="3">
        <v>10</v>
      </c>
      <c r="C74" s="3">
        <v>12</v>
      </c>
      <c r="D74" s="3">
        <v>22</v>
      </c>
    </row>
    <row r="75" spans="1:4" x14ac:dyDescent="0.3">
      <c r="A75" s="6">
        <v>40</v>
      </c>
      <c r="B75" s="3">
        <v>24</v>
      </c>
      <c r="C75" s="3">
        <v>18</v>
      </c>
      <c r="D75" s="3">
        <v>42</v>
      </c>
    </row>
    <row r="76" spans="1:4" x14ac:dyDescent="0.3">
      <c r="A76" s="6">
        <v>41</v>
      </c>
      <c r="B76" s="3">
        <v>13</v>
      </c>
      <c r="C76" s="3">
        <v>15</v>
      </c>
      <c r="D76" s="3">
        <v>28</v>
      </c>
    </row>
    <row r="77" spans="1:4" x14ac:dyDescent="0.3">
      <c r="A77" s="6">
        <v>42</v>
      </c>
      <c r="B77" s="3">
        <v>22</v>
      </c>
      <c r="C77" s="3">
        <v>12</v>
      </c>
      <c r="D77" s="3">
        <v>34</v>
      </c>
    </row>
    <row r="78" spans="1:4" x14ac:dyDescent="0.3">
      <c r="A78" s="6">
        <v>43</v>
      </c>
      <c r="B78" s="3">
        <v>17</v>
      </c>
      <c r="C78" s="3">
        <v>19</v>
      </c>
      <c r="D78" s="3">
        <v>36</v>
      </c>
    </row>
    <row r="79" spans="1:4" x14ac:dyDescent="0.3">
      <c r="A79" s="6">
        <v>44</v>
      </c>
      <c r="B79" s="3">
        <v>15</v>
      </c>
      <c r="C79" s="3">
        <v>12</v>
      </c>
      <c r="D79" s="3">
        <v>27</v>
      </c>
    </row>
    <row r="80" spans="1:4" x14ac:dyDescent="0.3">
      <c r="A80" s="6">
        <v>45</v>
      </c>
      <c r="B80" s="3">
        <v>18</v>
      </c>
      <c r="C80" s="3">
        <v>13</v>
      </c>
      <c r="D80" s="3">
        <v>31</v>
      </c>
    </row>
    <row r="81" spans="1:4" x14ac:dyDescent="0.3">
      <c r="A81" s="6">
        <v>46</v>
      </c>
      <c r="B81" s="3">
        <v>12</v>
      </c>
      <c r="C81" s="3">
        <v>15</v>
      </c>
      <c r="D81" s="3">
        <v>27</v>
      </c>
    </row>
    <row r="82" spans="1:4" x14ac:dyDescent="0.3">
      <c r="A82" s="6">
        <v>47</v>
      </c>
      <c r="B82" s="3">
        <v>19</v>
      </c>
      <c r="C82" s="3">
        <v>20</v>
      </c>
      <c r="D82" s="3">
        <v>39</v>
      </c>
    </row>
    <row r="83" spans="1:4" x14ac:dyDescent="0.3">
      <c r="A83" s="6">
        <v>48</v>
      </c>
      <c r="B83" s="3">
        <v>16</v>
      </c>
      <c r="C83" s="3">
        <v>13</v>
      </c>
      <c r="D83" s="3">
        <v>29</v>
      </c>
    </row>
    <row r="84" spans="1:4" x14ac:dyDescent="0.3">
      <c r="A84" s="6">
        <v>49</v>
      </c>
      <c r="B84" s="3">
        <v>15</v>
      </c>
      <c r="C84" s="3">
        <v>8</v>
      </c>
      <c r="D84" s="3">
        <v>23</v>
      </c>
    </row>
    <row r="85" spans="1:4" x14ac:dyDescent="0.3">
      <c r="A85" s="6">
        <v>50</v>
      </c>
      <c r="B85" s="3">
        <v>12</v>
      </c>
      <c r="C85" s="3">
        <v>12</v>
      </c>
      <c r="D85" s="3">
        <v>24</v>
      </c>
    </row>
    <row r="86" spans="1:4" x14ac:dyDescent="0.3">
      <c r="A86" s="6">
        <v>51</v>
      </c>
      <c r="B86" s="3">
        <v>10</v>
      </c>
      <c r="C86" s="3">
        <v>12</v>
      </c>
      <c r="D86" s="3">
        <v>22</v>
      </c>
    </row>
    <row r="87" spans="1:4" x14ac:dyDescent="0.3">
      <c r="A87" s="6">
        <v>52</v>
      </c>
      <c r="B87" s="3">
        <v>10</v>
      </c>
      <c r="C87" s="3">
        <v>15</v>
      </c>
      <c r="D87" s="3">
        <v>25</v>
      </c>
    </row>
    <row r="88" spans="1:4" x14ac:dyDescent="0.3">
      <c r="A88" s="6">
        <v>53</v>
      </c>
      <c r="B88" s="3">
        <v>11</v>
      </c>
      <c r="C88" s="3">
        <v>13</v>
      </c>
      <c r="D88" s="3">
        <v>24</v>
      </c>
    </row>
    <row r="89" spans="1:4" x14ac:dyDescent="0.3">
      <c r="A89" s="6">
        <v>54</v>
      </c>
      <c r="B89" s="3">
        <v>5</v>
      </c>
      <c r="C89" s="3">
        <v>11</v>
      </c>
      <c r="D89" s="3">
        <v>16</v>
      </c>
    </row>
    <row r="90" spans="1:4" x14ac:dyDescent="0.3">
      <c r="A90" s="6">
        <v>55</v>
      </c>
      <c r="B90" s="3">
        <v>13</v>
      </c>
      <c r="C90" s="3">
        <v>5</v>
      </c>
      <c r="D90" s="3">
        <v>18</v>
      </c>
    </row>
    <row r="91" spans="1:4" x14ac:dyDescent="0.3">
      <c r="A91" s="6">
        <v>56</v>
      </c>
      <c r="B91" s="3">
        <v>13</v>
      </c>
      <c r="C91" s="3">
        <v>3</v>
      </c>
      <c r="D91" s="3">
        <v>16</v>
      </c>
    </row>
    <row r="92" spans="1:4" x14ac:dyDescent="0.3">
      <c r="A92" s="6">
        <v>57</v>
      </c>
      <c r="B92" s="3">
        <v>4</v>
      </c>
      <c r="C92" s="3">
        <v>4</v>
      </c>
      <c r="D92" s="3">
        <v>8</v>
      </c>
    </row>
    <row r="93" spans="1:4" x14ac:dyDescent="0.3">
      <c r="A93" s="6">
        <v>58</v>
      </c>
      <c r="B93" s="3">
        <v>8</v>
      </c>
      <c r="C93" s="3">
        <v>4</v>
      </c>
      <c r="D93" s="3">
        <v>12</v>
      </c>
    </row>
    <row r="94" spans="1:4" x14ac:dyDescent="0.3">
      <c r="A94" s="6">
        <v>59</v>
      </c>
      <c r="B94" s="3">
        <v>14</v>
      </c>
      <c r="C94" s="3">
        <v>6</v>
      </c>
      <c r="D94" s="3">
        <v>20</v>
      </c>
    </row>
    <row r="95" spans="1:4" x14ac:dyDescent="0.3">
      <c r="A95" s="6">
        <v>60</v>
      </c>
      <c r="B95" s="3">
        <v>8</v>
      </c>
      <c r="C95" s="3">
        <v>7</v>
      </c>
      <c r="D95" s="3">
        <v>15</v>
      </c>
    </row>
    <row r="96" spans="1:4" x14ac:dyDescent="0.3">
      <c r="A96" s="6">
        <v>61</v>
      </c>
      <c r="B96" s="3">
        <v>5</v>
      </c>
      <c r="C96" s="3">
        <v>4</v>
      </c>
      <c r="D96" s="3">
        <v>9</v>
      </c>
    </row>
    <row r="97" spans="1:4" x14ac:dyDescent="0.3">
      <c r="A97" s="6">
        <v>62</v>
      </c>
      <c r="B97" s="3">
        <v>9</v>
      </c>
      <c r="C97" s="3">
        <v>4</v>
      </c>
      <c r="D97" s="3">
        <v>13</v>
      </c>
    </row>
    <row r="98" spans="1:4" x14ac:dyDescent="0.3">
      <c r="A98" s="6">
        <v>63</v>
      </c>
      <c r="B98" s="3">
        <v>7</v>
      </c>
      <c r="C98" s="3">
        <v>2</v>
      </c>
      <c r="D98" s="3">
        <v>9</v>
      </c>
    </row>
    <row r="99" spans="1:4" x14ac:dyDescent="0.3">
      <c r="A99" s="6">
        <v>64</v>
      </c>
      <c r="B99" s="3">
        <v>7</v>
      </c>
      <c r="C99" s="3">
        <v>3</v>
      </c>
      <c r="D99" s="3">
        <v>10</v>
      </c>
    </row>
    <row r="100" spans="1:4" x14ac:dyDescent="0.3">
      <c r="A100" s="6">
        <v>65</v>
      </c>
      <c r="B100" s="3">
        <v>6</v>
      </c>
      <c r="C100" s="3">
        <v>3</v>
      </c>
      <c r="D100" s="3">
        <v>9</v>
      </c>
    </row>
    <row r="101" spans="1:4" x14ac:dyDescent="0.3">
      <c r="A101" s="6">
        <v>66</v>
      </c>
      <c r="B101" s="3">
        <v>8</v>
      </c>
      <c r="C101" s="3">
        <v>6</v>
      </c>
      <c r="D101" s="3">
        <v>14</v>
      </c>
    </row>
    <row r="102" spans="1:4" x14ac:dyDescent="0.3">
      <c r="A102" s="6">
        <v>67</v>
      </c>
      <c r="B102" s="3">
        <v>8</v>
      </c>
      <c r="C102" s="3">
        <v>2</v>
      </c>
      <c r="D102" s="3">
        <v>10</v>
      </c>
    </row>
    <row r="103" spans="1:4" x14ac:dyDescent="0.3">
      <c r="A103" s="6">
        <v>68</v>
      </c>
      <c r="B103" s="3">
        <v>3</v>
      </c>
      <c r="C103" s="3"/>
      <c r="D103" s="3">
        <v>3</v>
      </c>
    </row>
    <row r="104" spans="1:4" x14ac:dyDescent="0.3">
      <c r="A104" s="6">
        <v>69</v>
      </c>
      <c r="B104" s="3">
        <v>8</v>
      </c>
      <c r="C104" s="3"/>
      <c r="D104" s="3">
        <v>8</v>
      </c>
    </row>
    <row r="105" spans="1:4" x14ac:dyDescent="0.3">
      <c r="A105" s="6">
        <v>70</v>
      </c>
      <c r="B105" s="3">
        <v>3</v>
      </c>
      <c r="C105" s="3">
        <v>1</v>
      </c>
      <c r="D105" s="3">
        <v>4</v>
      </c>
    </row>
    <row r="106" spans="1:4" x14ac:dyDescent="0.3">
      <c r="A106" s="6">
        <v>71</v>
      </c>
      <c r="B106" s="3">
        <v>1</v>
      </c>
      <c r="C106" s="3"/>
      <c r="D106" s="3">
        <v>1</v>
      </c>
    </row>
    <row r="107" spans="1:4" x14ac:dyDescent="0.3">
      <c r="A107" s="6">
        <v>72</v>
      </c>
      <c r="B107" s="3"/>
      <c r="C107" s="3">
        <v>1</v>
      </c>
      <c r="D107" s="3">
        <v>1</v>
      </c>
    </row>
    <row r="108" spans="1:4" x14ac:dyDescent="0.3">
      <c r="A108" s="6">
        <v>73</v>
      </c>
      <c r="B108" s="3">
        <v>2</v>
      </c>
      <c r="C108" s="3">
        <v>2</v>
      </c>
      <c r="D108" s="3">
        <v>4</v>
      </c>
    </row>
    <row r="109" spans="1:4" x14ac:dyDescent="0.3">
      <c r="A109" s="6">
        <v>74</v>
      </c>
      <c r="B109" s="3"/>
      <c r="C109" s="3">
        <v>1</v>
      </c>
      <c r="D109" s="3">
        <v>1</v>
      </c>
    </row>
    <row r="110" spans="1:4" x14ac:dyDescent="0.3">
      <c r="A110" s="6">
        <v>78</v>
      </c>
      <c r="B110" s="3">
        <v>1</v>
      </c>
      <c r="C110" s="3">
        <v>1</v>
      </c>
      <c r="D110" s="3">
        <v>2</v>
      </c>
    </row>
    <row r="111" spans="1:4" x14ac:dyDescent="0.3">
      <c r="A111" s="6">
        <v>80</v>
      </c>
      <c r="B111" s="3">
        <v>1</v>
      </c>
      <c r="C111" s="3"/>
      <c r="D111" s="3">
        <v>1</v>
      </c>
    </row>
    <row r="112" spans="1:4" x14ac:dyDescent="0.3">
      <c r="A112" s="6">
        <v>89</v>
      </c>
      <c r="B112" s="3">
        <v>1</v>
      </c>
      <c r="C112" s="3"/>
      <c r="D112" s="3">
        <v>1</v>
      </c>
    </row>
    <row r="113" spans="1:4" x14ac:dyDescent="0.3">
      <c r="A113" s="6" t="s">
        <v>42</v>
      </c>
      <c r="B113" s="3">
        <v>519</v>
      </c>
      <c r="C113" s="3">
        <v>481</v>
      </c>
      <c r="D113"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09B19-3F1E-4931-A05D-B14313CA8470}">
  <dimension ref="A1:Q7"/>
  <sheetViews>
    <sheetView showGridLines="0" tabSelected="1" zoomScale="76" workbookViewId="0">
      <selection activeCell="Y17" sqref="Y17"/>
    </sheetView>
  </sheetViews>
  <sheetFormatPr defaultRowHeight="14.4" x14ac:dyDescent="0.3"/>
  <sheetData>
    <row r="1" spans="1:17" x14ac:dyDescent="0.3">
      <c r="A1" s="8"/>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x14ac:dyDescent="0.3">
      <c r="A6" s="8"/>
      <c r="B6" s="8"/>
      <c r="C6" s="8"/>
      <c r="D6" s="8"/>
      <c r="E6" s="8"/>
      <c r="F6" s="8"/>
      <c r="G6" s="8"/>
      <c r="H6" s="8"/>
      <c r="I6" s="8"/>
      <c r="J6" s="8"/>
      <c r="K6" s="8"/>
      <c r="L6" s="8"/>
      <c r="M6" s="8"/>
      <c r="N6" s="8"/>
      <c r="O6" s="8"/>
      <c r="P6" s="8"/>
      <c r="Q6" s="8"/>
    </row>
    <row r="7" spans="1:17" x14ac:dyDescent="0.3">
      <c r="A7" s="8"/>
      <c r="B7" s="8"/>
      <c r="C7" s="8"/>
      <c r="D7" s="8"/>
      <c r="E7" s="8"/>
      <c r="F7" s="8"/>
      <c r="G7" s="8"/>
      <c r="H7" s="8"/>
      <c r="I7" s="8"/>
      <c r="J7" s="8"/>
      <c r="K7" s="8"/>
      <c r="L7" s="8"/>
      <c r="M7" s="8"/>
      <c r="N7" s="8"/>
      <c r="O7" s="8"/>
      <c r="P7" s="8"/>
      <c r="Q7"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Sama Mohamed</cp:lastModifiedBy>
  <dcterms:created xsi:type="dcterms:W3CDTF">2022-03-18T02:50:57Z</dcterms:created>
  <dcterms:modified xsi:type="dcterms:W3CDTF">2026-02-12T14:41:55Z</dcterms:modified>
</cp:coreProperties>
</file>